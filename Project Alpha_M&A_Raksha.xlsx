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sh\OneDrive\Desktop\"/>
    </mc:Choice>
  </mc:AlternateContent>
  <xr:revisionPtr revIDLastSave="0" documentId="8_{E36FFF85-3259-4617-9CC8-05B59BF6AFAB}" xr6:coauthVersionLast="47" xr6:coauthVersionMax="47" xr10:uidLastSave="{00000000-0000-0000-0000-000000000000}"/>
  <bookViews>
    <workbookView xWindow="-120" yWindow="-120" windowWidth="29040" windowHeight="17520" activeTab="5" xr2:uid="{DFD4D777-B7A2-4742-BECE-96BFC10D4095}"/>
  </bookViews>
  <sheets>
    <sheet name="InpC" sheetId="1" r:id="rId1"/>
    <sheet name="InpS" sheetId="4" r:id="rId2"/>
    <sheet name="Alpha" sheetId="3" r:id="rId3"/>
    <sheet name="Beta" sheetId="6" r:id="rId4"/>
    <sheet name="Transaction_Workings" sheetId="7" r:id="rId5"/>
    <sheet name="Post_Merger" sheetId="8" r:id="rId6"/>
    <sheet name="Temp" sheetId="2" r:id="rId7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7" i="8" l="1"/>
  <c r="N147" i="8"/>
  <c r="M147" i="8"/>
  <c r="L147" i="8"/>
  <c r="K147" i="8"/>
  <c r="J147" i="8"/>
  <c r="I145" i="8"/>
  <c r="H145" i="8"/>
  <c r="G145" i="8"/>
  <c r="F145" i="8"/>
  <c r="E145" i="8"/>
  <c r="I144" i="8"/>
  <c r="H144" i="8"/>
  <c r="G144" i="8"/>
  <c r="F144" i="8"/>
  <c r="E144" i="8"/>
  <c r="K63" i="8"/>
  <c r="J65" i="8"/>
  <c r="N46" i="8"/>
  <c r="O46" i="8" s="1"/>
  <c r="M46" i="8"/>
  <c r="L46" i="8"/>
  <c r="K46" i="8"/>
  <c r="L40" i="8"/>
  <c r="M40" i="8" s="1"/>
  <c r="N40" i="8" s="1"/>
  <c r="O40" i="8" s="1"/>
  <c r="K40" i="8"/>
  <c r="L38" i="8"/>
  <c r="M38" i="8"/>
  <c r="N38" i="8"/>
  <c r="O38" i="8"/>
  <c r="K38" i="8"/>
  <c r="L37" i="8"/>
  <c r="M37" i="8"/>
  <c r="N37" i="8" s="1"/>
  <c r="O37" i="8" s="1"/>
  <c r="K37" i="8"/>
  <c r="O140" i="8"/>
  <c r="N140" i="8"/>
  <c r="M140" i="8"/>
  <c r="L140" i="8"/>
  <c r="K140" i="8"/>
  <c r="J140" i="8"/>
  <c r="I140" i="8"/>
  <c r="H140" i="8"/>
  <c r="G140" i="8"/>
  <c r="F140" i="8"/>
  <c r="E140" i="8"/>
  <c r="O130" i="8"/>
  <c r="N130" i="8"/>
  <c r="M130" i="8"/>
  <c r="L130" i="8"/>
  <c r="K130" i="8"/>
  <c r="J130" i="8"/>
  <c r="I130" i="8"/>
  <c r="H130" i="8"/>
  <c r="G130" i="8"/>
  <c r="F130" i="8"/>
  <c r="E130" i="8"/>
  <c r="O136" i="8"/>
  <c r="N136" i="8"/>
  <c r="M136" i="8"/>
  <c r="L136" i="8"/>
  <c r="K136" i="8"/>
  <c r="J136" i="8"/>
  <c r="I136" i="8"/>
  <c r="H136" i="8"/>
  <c r="G136" i="8"/>
  <c r="F136" i="8"/>
  <c r="E136" i="8"/>
  <c r="J134" i="8"/>
  <c r="I134" i="8"/>
  <c r="H134" i="8"/>
  <c r="G134" i="8"/>
  <c r="F134" i="8"/>
  <c r="E134" i="8"/>
  <c r="I128" i="8"/>
  <c r="H128" i="8"/>
  <c r="G128" i="8"/>
  <c r="F128" i="8"/>
  <c r="E128" i="8"/>
  <c r="O120" i="8"/>
  <c r="N120" i="8"/>
  <c r="M120" i="8"/>
  <c r="L120" i="8"/>
  <c r="K120" i="8"/>
  <c r="J120" i="8"/>
  <c r="I120" i="8"/>
  <c r="H120" i="8"/>
  <c r="G120" i="8"/>
  <c r="F120" i="8"/>
  <c r="E120" i="8"/>
  <c r="J118" i="8"/>
  <c r="I118" i="8"/>
  <c r="H118" i="8"/>
  <c r="G118" i="8"/>
  <c r="F118" i="8"/>
  <c r="E118" i="8"/>
  <c r="I113" i="8"/>
  <c r="H113" i="8"/>
  <c r="G113" i="8"/>
  <c r="F113" i="8"/>
  <c r="E113" i="8"/>
  <c r="O60" i="8"/>
  <c r="O61" i="8" s="1"/>
  <c r="N60" i="8"/>
  <c r="N61" i="8" s="1"/>
  <c r="M60" i="8"/>
  <c r="M61" i="8" s="1"/>
  <c r="L60" i="8"/>
  <c r="L61" i="8" s="1"/>
  <c r="K61" i="8"/>
  <c r="O58" i="8"/>
  <c r="N58" i="8"/>
  <c r="M58" i="8"/>
  <c r="L58" i="8"/>
  <c r="K58" i="8"/>
  <c r="J46" i="8"/>
  <c r="J40" i="8"/>
  <c r="J39" i="8"/>
  <c r="J38" i="8"/>
  <c r="J37" i="8"/>
  <c r="J72" i="1"/>
  <c r="E28" i="8"/>
  <c r="G28" i="8"/>
  <c r="E25" i="8"/>
  <c r="F25" i="8"/>
  <c r="G25" i="8"/>
  <c r="H25" i="8"/>
  <c r="I25" i="8"/>
  <c r="J25" i="8"/>
  <c r="K25" i="8"/>
  <c r="L25" i="8"/>
  <c r="M25" i="8"/>
  <c r="N25" i="8"/>
  <c r="O25" i="8"/>
  <c r="E24" i="8"/>
  <c r="F24" i="8"/>
  <c r="G24" i="8"/>
  <c r="H24" i="8"/>
  <c r="I24" i="8"/>
  <c r="J24" i="8"/>
  <c r="J29" i="8" s="1"/>
  <c r="K24" i="8"/>
  <c r="L24" i="8"/>
  <c r="M24" i="8"/>
  <c r="N24" i="8"/>
  <c r="O24" i="8"/>
  <c r="E20" i="8"/>
  <c r="F20" i="8"/>
  <c r="G20" i="8"/>
  <c r="H20" i="8"/>
  <c r="I20" i="8"/>
  <c r="I106" i="8"/>
  <c r="H106" i="8"/>
  <c r="G106" i="8"/>
  <c r="F106" i="8"/>
  <c r="E106" i="8"/>
  <c r="G105" i="8"/>
  <c r="F105" i="8"/>
  <c r="E105" i="8"/>
  <c r="E17" i="8"/>
  <c r="E123" i="8" s="1"/>
  <c r="F17" i="8"/>
  <c r="F123" i="8" s="1"/>
  <c r="G17" i="8"/>
  <c r="G123" i="8" s="1"/>
  <c r="H17" i="8"/>
  <c r="H123" i="8" s="1"/>
  <c r="I17" i="8"/>
  <c r="I114" i="8" s="1"/>
  <c r="J97" i="8"/>
  <c r="E94" i="8"/>
  <c r="F94" i="8"/>
  <c r="G94" i="8"/>
  <c r="F88" i="1"/>
  <c r="E14" i="8"/>
  <c r="F14" i="8"/>
  <c r="G14" i="8"/>
  <c r="H14" i="8"/>
  <c r="I14" i="8"/>
  <c r="E90" i="8"/>
  <c r="F90" i="8"/>
  <c r="G90" i="8"/>
  <c r="H90" i="8"/>
  <c r="I90" i="8"/>
  <c r="G89" i="8"/>
  <c r="F89" i="8"/>
  <c r="E89" i="8"/>
  <c r="I11" i="8"/>
  <c r="H11" i="8"/>
  <c r="G11" i="8"/>
  <c r="F11" i="8"/>
  <c r="E11" i="8"/>
  <c r="E85" i="8"/>
  <c r="F85" i="8"/>
  <c r="M85" i="8" s="1"/>
  <c r="G85" i="8"/>
  <c r="E84" i="8"/>
  <c r="F84" i="8"/>
  <c r="K84" i="8" s="1"/>
  <c r="G84" i="8"/>
  <c r="F85" i="1"/>
  <c r="F84" i="1"/>
  <c r="F83" i="1"/>
  <c r="E82" i="8"/>
  <c r="F82" i="8"/>
  <c r="G82" i="8"/>
  <c r="H82" i="8"/>
  <c r="I82" i="8"/>
  <c r="J82" i="8"/>
  <c r="K82" i="8"/>
  <c r="L82" i="8"/>
  <c r="M82" i="8"/>
  <c r="N82" i="8"/>
  <c r="O82" i="8"/>
  <c r="E79" i="8"/>
  <c r="F79" i="8"/>
  <c r="G79" i="8"/>
  <c r="H79" i="8"/>
  <c r="I79" i="8"/>
  <c r="J79" i="8"/>
  <c r="K79" i="8"/>
  <c r="L79" i="8"/>
  <c r="M79" i="8"/>
  <c r="N79" i="8"/>
  <c r="O79" i="8"/>
  <c r="I10" i="8"/>
  <c r="H10" i="8"/>
  <c r="G10" i="8"/>
  <c r="F10" i="8"/>
  <c r="E10" i="8"/>
  <c r="E74" i="8"/>
  <c r="F74" i="8"/>
  <c r="G74" i="8"/>
  <c r="H74" i="8"/>
  <c r="I74" i="8"/>
  <c r="J74" i="8"/>
  <c r="K74" i="8"/>
  <c r="L74" i="8"/>
  <c r="M74" i="8"/>
  <c r="N74" i="8"/>
  <c r="O74" i="8"/>
  <c r="E71" i="8"/>
  <c r="F71" i="8"/>
  <c r="G71" i="8"/>
  <c r="H71" i="8"/>
  <c r="I71" i="8"/>
  <c r="J71" i="8"/>
  <c r="K71" i="8"/>
  <c r="L71" i="8"/>
  <c r="M71" i="8"/>
  <c r="N71" i="8"/>
  <c r="O71" i="8"/>
  <c r="E4" i="8"/>
  <c r="F4" i="8"/>
  <c r="G4" i="8"/>
  <c r="H4" i="8"/>
  <c r="I4" i="8"/>
  <c r="J4" i="8"/>
  <c r="K4" i="8"/>
  <c r="L4" i="8"/>
  <c r="M4" i="8"/>
  <c r="N4" i="8"/>
  <c r="O4" i="8"/>
  <c r="E3" i="8"/>
  <c r="F3" i="8"/>
  <c r="G3" i="8"/>
  <c r="H3" i="8"/>
  <c r="I3" i="8"/>
  <c r="J3" i="8"/>
  <c r="K3" i="8"/>
  <c r="L3" i="8"/>
  <c r="M3" i="8"/>
  <c r="N3" i="8"/>
  <c r="O3" i="8"/>
  <c r="E2" i="8"/>
  <c r="F2" i="8"/>
  <c r="G2" i="8"/>
  <c r="H2" i="8"/>
  <c r="I2" i="8"/>
  <c r="J2" i="8"/>
  <c r="K2" i="8"/>
  <c r="L2" i="8"/>
  <c r="M2" i="8"/>
  <c r="N2" i="8"/>
  <c r="O2" i="8"/>
  <c r="E1" i="8"/>
  <c r="F1" i="8"/>
  <c r="G1" i="8"/>
  <c r="H1" i="8"/>
  <c r="I1" i="8"/>
  <c r="J1" i="8"/>
  <c r="K1" i="8"/>
  <c r="L1" i="8"/>
  <c r="M1" i="8"/>
  <c r="N1" i="8"/>
  <c r="O1" i="8"/>
  <c r="E139" i="8" l="1"/>
  <c r="F139" i="8"/>
  <c r="G139" i="8"/>
  <c r="H135" i="8"/>
  <c r="H139" i="8"/>
  <c r="I139" i="8"/>
  <c r="E135" i="8"/>
  <c r="F135" i="8"/>
  <c r="G135" i="8"/>
  <c r="E119" i="8"/>
  <c r="I135" i="8"/>
  <c r="G129" i="8"/>
  <c r="F129" i="8"/>
  <c r="H129" i="8"/>
  <c r="E129" i="8"/>
  <c r="I129" i="8"/>
  <c r="F119" i="8"/>
  <c r="G119" i="8"/>
  <c r="H119" i="8"/>
  <c r="I119" i="8"/>
  <c r="E114" i="8"/>
  <c r="F114" i="8"/>
  <c r="G114" i="8"/>
  <c r="H114" i="8"/>
  <c r="I123" i="8"/>
  <c r="J41" i="8"/>
  <c r="J83" i="8"/>
  <c r="J86" i="8" s="1"/>
  <c r="J11" i="8" s="1"/>
  <c r="K75" i="8"/>
  <c r="K10" i="8" s="1"/>
  <c r="J102" i="8"/>
  <c r="J17" i="8" s="1"/>
  <c r="L85" i="8"/>
  <c r="O83" i="8"/>
  <c r="L83" i="8"/>
  <c r="K83" i="8"/>
  <c r="K86" i="8" s="1"/>
  <c r="K11" i="8" s="1"/>
  <c r="O85" i="8"/>
  <c r="M83" i="8"/>
  <c r="M86" i="8" s="1"/>
  <c r="M11" i="8" s="1"/>
  <c r="N75" i="8"/>
  <c r="N10" i="8" s="1"/>
  <c r="L75" i="8"/>
  <c r="L90" i="8" s="1"/>
  <c r="L91" i="8" s="1"/>
  <c r="L14" i="8" s="1"/>
  <c r="N83" i="8"/>
  <c r="O75" i="8"/>
  <c r="O10" i="8" s="1"/>
  <c r="M75" i="8"/>
  <c r="M10" i="8" s="1"/>
  <c r="J75" i="8"/>
  <c r="N85" i="8"/>
  <c r="J119" i="8" l="1"/>
  <c r="J129" i="8"/>
  <c r="J135" i="8"/>
  <c r="J139" i="8"/>
  <c r="L54" i="8"/>
  <c r="J114" i="8"/>
  <c r="J123" i="8"/>
  <c r="L53" i="8"/>
  <c r="M12" i="8"/>
  <c r="M128" i="8" s="1"/>
  <c r="L10" i="8"/>
  <c r="L86" i="8"/>
  <c r="L11" i="8" s="1"/>
  <c r="K90" i="8"/>
  <c r="K91" i="8" s="1"/>
  <c r="K14" i="8" s="1"/>
  <c r="K53" i="8" s="1"/>
  <c r="N86" i="8"/>
  <c r="N11" i="8" s="1"/>
  <c r="N12" i="8" s="1"/>
  <c r="N128" i="8" s="1"/>
  <c r="O86" i="8"/>
  <c r="O11" i="8" s="1"/>
  <c r="O12" i="8" s="1"/>
  <c r="O128" i="8" s="1"/>
  <c r="N90" i="8"/>
  <c r="N91" i="8" s="1"/>
  <c r="N14" i="8" s="1"/>
  <c r="N53" i="8" s="1"/>
  <c r="O90" i="8"/>
  <c r="O91" i="8" s="1"/>
  <c r="O14" i="8" s="1"/>
  <c r="O53" i="8" s="1"/>
  <c r="K12" i="8"/>
  <c r="K128" i="8" s="1"/>
  <c r="M90" i="8"/>
  <c r="M91" i="8" s="1"/>
  <c r="M14" i="8" s="1"/>
  <c r="M53" i="8" s="1"/>
  <c r="J10" i="8"/>
  <c r="J12" i="8" s="1"/>
  <c r="J128" i="8" s="1"/>
  <c r="J90" i="8"/>
  <c r="J91" i="8" s="1"/>
  <c r="J14" i="8" s="1"/>
  <c r="M54" i="8" l="1"/>
  <c r="K113" i="8"/>
  <c r="O113" i="8"/>
  <c r="N113" i="8"/>
  <c r="M113" i="8"/>
  <c r="J113" i="8"/>
  <c r="L12" i="8"/>
  <c r="L128" i="8" s="1"/>
  <c r="K15" i="8"/>
  <c r="M15" i="8"/>
  <c r="O15" i="8"/>
  <c r="N15" i="8"/>
  <c r="J15" i="8"/>
  <c r="J18" i="8" s="1"/>
  <c r="N54" i="8" l="1"/>
  <c r="L15" i="8"/>
  <c r="L113" i="8"/>
  <c r="O54" i="8"/>
  <c r="J106" i="8"/>
  <c r="J107" i="8" s="1"/>
  <c r="J20" i="8" s="1"/>
  <c r="J21" i="8" s="1"/>
  <c r="J30" i="8" s="1"/>
  <c r="L80" i="7" l="1"/>
  <c r="M80" i="7" s="1"/>
  <c r="M81" i="7" s="1"/>
  <c r="K86" i="7"/>
  <c r="K85" i="7"/>
  <c r="K84" i="7"/>
  <c r="K83" i="7"/>
  <c r="K81" i="7"/>
  <c r="K88" i="7" s="1"/>
  <c r="K79" i="7"/>
  <c r="K78" i="7"/>
  <c r="K77" i="7"/>
  <c r="J86" i="7"/>
  <c r="J85" i="7"/>
  <c r="M85" i="7" s="1"/>
  <c r="J84" i="7"/>
  <c r="J83" i="7"/>
  <c r="J81" i="7"/>
  <c r="J88" i="7" s="1"/>
  <c r="J79" i="7"/>
  <c r="M79" i="7" s="1"/>
  <c r="J78" i="7"/>
  <c r="M78" i="7" s="1"/>
  <c r="J77" i="7"/>
  <c r="E86" i="7"/>
  <c r="E85" i="7"/>
  <c r="E84" i="7"/>
  <c r="E83" i="7"/>
  <c r="E81" i="7"/>
  <c r="E79" i="7"/>
  <c r="E78" i="7"/>
  <c r="E77" i="7"/>
  <c r="E72" i="7"/>
  <c r="G72" i="7"/>
  <c r="E71" i="7"/>
  <c r="F71" i="7"/>
  <c r="G71" i="7"/>
  <c r="F78" i="1"/>
  <c r="E66" i="7"/>
  <c r="G66" i="7"/>
  <c r="E67" i="7"/>
  <c r="F67" i="7"/>
  <c r="G67" i="7"/>
  <c r="F76" i="1"/>
  <c r="E63" i="7"/>
  <c r="F63" i="7"/>
  <c r="G63" i="7"/>
  <c r="F74" i="1"/>
  <c r="E57" i="7"/>
  <c r="G57" i="7"/>
  <c r="E56" i="7"/>
  <c r="G56" i="7"/>
  <c r="E52" i="7"/>
  <c r="G52" i="7"/>
  <c r="E51" i="7"/>
  <c r="G51" i="7"/>
  <c r="F71" i="1"/>
  <c r="F56" i="7" s="1"/>
  <c r="F68" i="1"/>
  <c r="F51" i="7" s="1"/>
  <c r="E48" i="7"/>
  <c r="G48" i="7"/>
  <c r="E47" i="7"/>
  <c r="F47" i="7"/>
  <c r="G47" i="7"/>
  <c r="E46" i="7"/>
  <c r="F46" i="7"/>
  <c r="G46" i="7"/>
  <c r="F67" i="1"/>
  <c r="F66" i="1"/>
  <c r="E40" i="7"/>
  <c r="G40" i="7"/>
  <c r="E35" i="7"/>
  <c r="G35" i="7"/>
  <c r="E29" i="7"/>
  <c r="F29" i="7"/>
  <c r="G29" i="7"/>
  <c r="E28" i="7"/>
  <c r="F28" i="7"/>
  <c r="G28" i="7"/>
  <c r="I14" i="7"/>
  <c r="H14" i="7"/>
  <c r="G14" i="7"/>
  <c r="F14" i="7"/>
  <c r="E14" i="7"/>
  <c r="I13" i="7"/>
  <c r="G13" i="7"/>
  <c r="F13" i="7"/>
  <c r="E13" i="7"/>
  <c r="E11" i="7"/>
  <c r="G11" i="7"/>
  <c r="E10" i="7"/>
  <c r="G10" i="7"/>
  <c r="F51" i="1"/>
  <c r="F11" i="7" s="1"/>
  <c r="F50" i="1"/>
  <c r="F10" i="7" s="1"/>
  <c r="I20" i="7"/>
  <c r="H20" i="7"/>
  <c r="G20" i="7"/>
  <c r="F20" i="7"/>
  <c r="E20" i="7"/>
  <c r="I19" i="7"/>
  <c r="H19" i="7"/>
  <c r="G19" i="7"/>
  <c r="F19" i="7"/>
  <c r="E19" i="7"/>
  <c r="I18" i="7"/>
  <c r="H18" i="7"/>
  <c r="G18" i="7"/>
  <c r="F18" i="7"/>
  <c r="E9" i="7"/>
  <c r="G9" i="7"/>
  <c r="I12" i="7"/>
  <c r="G12" i="7"/>
  <c r="F12" i="7"/>
  <c r="E12" i="7"/>
  <c r="I15" i="7"/>
  <c r="H15" i="7"/>
  <c r="G15" i="7"/>
  <c r="F15" i="7"/>
  <c r="E15" i="7"/>
  <c r="F30" i="1"/>
  <c r="O48" i="3" s="1"/>
  <c r="E4" i="7"/>
  <c r="F4" i="7"/>
  <c r="G4" i="7"/>
  <c r="H4" i="7"/>
  <c r="I4" i="7"/>
  <c r="E3" i="7"/>
  <c r="F3" i="7"/>
  <c r="G3" i="7"/>
  <c r="H3" i="7"/>
  <c r="I3" i="7"/>
  <c r="E2" i="7"/>
  <c r="F2" i="7"/>
  <c r="G2" i="7"/>
  <c r="H2" i="7"/>
  <c r="I2" i="7"/>
  <c r="E1" i="7"/>
  <c r="F1" i="7"/>
  <c r="G1" i="7"/>
  <c r="H1" i="7"/>
  <c r="I1" i="7"/>
  <c r="E132" i="6"/>
  <c r="G132" i="6"/>
  <c r="E121" i="6"/>
  <c r="G121" i="6"/>
  <c r="E120" i="6"/>
  <c r="G120" i="6"/>
  <c r="E114" i="6"/>
  <c r="G114" i="6"/>
  <c r="E102" i="6"/>
  <c r="G102" i="6"/>
  <c r="J62" i="1"/>
  <c r="F62" i="1" s="1"/>
  <c r="F61" i="1"/>
  <c r="F60" i="1"/>
  <c r="F102" i="6" s="1"/>
  <c r="F59" i="1"/>
  <c r="F132" i="6" s="1"/>
  <c r="J57" i="1"/>
  <c r="F57" i="1" s="1"/>
  <c r="F56" i="1"/>
  <c r="F55" i="1"/>
  <c r="F54" i="1"/>
  <c r="F121" i="6" s="1"/>
  <c r="E101" i="6"/>
  <c r="G101" i="6"/>
  <c r="F49" i="1"/>
  <c r="F120" i="6" s="1"/>
  <c r="F48" i="1"/>
  <c r="F114" i="6" s="1"/>
  <c r="F47" i="1"/>
  <c r="F101" i="6" s="1"/>
  <c r="E96" i="6"/>
  <c r="G96" i="6"/>
  <c r="E84" i="6"/>
  <c r="G84" i="6"/>
  <c r="E83" i="6"/>
  <c r="G83" i="6"/>
  <c r="I137" i="6"/>
  <c r="G137" i="6"/>
  <c r="F137" i="6"/>
  <c r="E137" i="6"/>
  <c r="I135" i="6"/>
  <c r="H135" i="6"/>
  <c r="G135" i="6"/>
  <c r="F135" i="6"/>
  <c r="E135" i="6"/>
  <c r="I134" i="6"/>
  <c r="G134" i="6"/>
  <c r="F134" i="6"/>
  <c r="E134" i="6"/>
  <c r="I125" i="6"/>
  <c r="G125" i="6"/>
  <c r="F125" i="6"/>
  <c r="E125" i="6"/>
  <c r="I123" i="6"/>
  <c r="H123" i="6"/>
  <c r="G123" i="6"/>
  <c r="F123" i="6"/>
  <c r="E123" i="6"/>
  <c r="I122" i="6"/>
  <c r="G122" i="6"/>
  <c r="F122" i="6"/>
  <c r="E122" i="6"/>
  <c r="I116" i="6"/>
  <c r="H116" i="6"/>
  <c r="G116" i="6"/>
  <c r="F116" i="6"/>
  <c r="E116" i="6"/>
  <c r="I115" i="6"/>
  <c r="G115" i="6"/>
  <c r="F115" i="6"/>
  <c r="E115" i="6"/>
  <c r="I110" i="6"/>
  <c r="G110" i="6"/>
  <c r="F110" i="6"/>
  <c r="E110" i="6"/>
  <c r="I104" i="6"/>
  <c r="G104" i="6"/>
  <c r="F104" i="6"/>
  <c r="E104" i="6"/>
  <c r="I97" i="6"/>
  <c r="H97" i="6"/>
  <c r="G97" i="6"/>
  <c r="F97" i="6"/>
  <c r="E97" i="6"/>
  <c r="I91" i="6"/>
  <c r="H91" i="6"/>
  <c r="G91" i="6"/>
  <c r="F91" i="6"/>
  <c r="E91" i="6"/>
  <c r="I86" i="6"/>
  <c r="G86" i="6"/>
  <c r="F86" i="6"/>
  <c r="E86" i="6"/>
  <c r="I85" i="6"/>
  <c r="G85" i="6"/>
  <c r="F85" i="6"/>
  <c r="E85" i="6"/>
  <c r="J78" i="6"/>
  <c r="K76" i="6" s="1"/>
  <c r="O74" i="6"/>
  <c r="N74" i="6"/>
  <c r="M74" i="6"/>
  <c r="L74" i="6"/>
  <c r="K74" i="6"/>
  <c r="J74" i="6"/>
  <c r="I65" i="6"/>
  <c r="H65" i="6"/>
  <c r="G65" i="6"/>
  <c r="F65" i="6"/>
  <c r="E65" i="6"/>
  <c r="J60" i="6"/>
  <c r="K59" i="6"/>
  <c r="L59" i="6" s="1"/>
  <c r="M59" i="6" s="1"/>
  <c r="N59" i="6" s="1"/>
  <c r="O59" i="6" s="1"/>
  <c r="J54" i="6"/>
  <c r="K52" i="6"/>
  <c r="L52" i="6" s="1"/>
  <c r="I46" i="6"/>
  <c r="H46" i="6"/>
  <c r="G46" i="6"/>
  <c r="F46" i="6"/>
  <c r="E46" i="6"/>
  <c r="I43" i="6"/>
  <c r="H43" i="6"/>
  <c r="G43" i="6"/>
  <c r="F43" i="6"/>
  <c r="E43" i="6"/>
  <c r="I40" i="6"/>
  <c r="I66" i="6" s="1"/>
  <c r="H40" i="6"/>
  <c r="H66" i="6" s="1"/>
  <c r="G40" i="6"/>
  <c r="G66" i="6" s="1"/>
  <c r="F40" i="6"/>
  <c r="F66" i="6" s="1"/>
  <c r="E40" i="6"/>
  <c r="E66" i="6" s="1"/>
  <c r="I38" i="6"/>
  <c r="H38" i="6"/>
  <c r="G38" i="6"/>
  <c r="F38" i="6"/>
  <c r="E38" i="6"/>
  <c r="I36" i="6"/>
  <c r="H36" i="6"/>
  <c r="G36" i="6"/>
  <c r="F36" i="6"/>
  <c r="E36" i="6"/>
  <c r="G27" i="6"/>
  <c r="E27" i="6"/>
  <c r="G26" i="6"/>
  <c r="E26" i="6"/>
  <c r="G20" i="6"/>
  <c r="E20" i="6"/>
  <c r="G19" i="6"/>
  <c r="E19" i="6"/>
  <c r="G11" i="6"/>
  <c r="E11" i="6"/>
  <c r="J9" i="6"/>
  <c r="K9" i="6" s="1"/>
  <c r="L9" i="6" s="1"/>
  <c r="I4" i="6"/>
  <c r="H4" i="6"/>
  <c r="G4" i="6"/>
  <c r="F4" i="6"/>
  <c r="E4" i="6"/>
  <c r="I3" i="6"/>
  <c r="H3" i="6"/>
  <c r="G3" i="6"/>
  <c r="F3" i="6"/>
  <c r="E3" i="6"/>
  <c r="I2" i="6"/>
  <c r="H2" i="6"/>
  <c r="G2" i="6"/>
  <c r="F2" i="6"/>
  <c r="E2" i="6"/>
  <c r="I1" i="6"/>
  <c r="H1" i="6"/>
  <c r="G1" i="6"/>
  <c r="F1" i="6"/>
  <c r="E1" i="6"/>
  <c r="O76" i="3"/>
  <c r="N76" i="3"/>
  <c r="M76" i="3"/>
  <c r="L76" i="3"/>
  <c r="K76" i="3"/>
  <c r="J76" i="3"/>
  <c r="J80" i="3"/>
  <c r="K78" i="3" s="1"/>
  <c r="I67" i="3"/>
  <c r="H67" i="3"/>
  <c r="G67" i="3"/>
  <c r="F67" i="3"/>
  <c r="E67" i="3"/>
  <c r="K61" i="3"/>
  <c r="L61" i="3" s="1"/>
  <c r="M61" i="3" s="1"/>
  <c r="I140" i="3"/>
  <c r="G140" i="3"/>
  <c r="F140" i="3"/>
  <c r="E140" i="3"/>
  <c r="I138" i="3"/>
  <c r="H138" i="3"/>
  <c r="G138" i="3"/>
  <c r="F138" i="3"/>
  <c r="E138" i="3"/>
  <c r="I137" i="3"/>
  <c r="G137" i="3"/>
  <c r="F137" i="3"/>
  <c r="E137" i="3"/>
  <c r="E135" i="3"/>
  <c r="G135" i="3"/>
  <c r="K54" i="3"/>
  <c r="L54" i="3" s="1"/>
  <c r="M54" i="3" s="1"/>
  <c r="N54" i="3" s="1"/>
  <c r="I128" i="3"/>
  <c r="G128" i="3"/>
  <c r="F128" i="3"/>
  <c r="E128" i="3"/>
  <c r="E124" i="3"/>
  <c r="G124" i="3"/>
  <c r="I126" i="3"/>
  <c r="H126" i="3"/>
  <c r="G126" i="3"/>
  <c r="F126" i="3"/>
  <c r="E126" i="3"/>
  <c r="I125" i="3"/>
  <c r="G125" i="3"/>
  <c r="F125" i="3"/>
  <c r="E125" i="3"/>
  <c r="E123" i="3"/>
  <c r="G123" i="3"/>
  <c r="F29" i="1"/>
  <c r="F123" i="3" s="1"/>
  <c r="I45" i="3"/>
  <c r="H45" i="3"/>
  <c r="G45" i="3"/>
  <c r="F45" i="3"/>
  <c r="E45" i="3"/>
  <c r="I119" i="3"/>
  <c r="H119" i="3"/>
  <c r="G119" i="3"/>
  <c r="F119" i="3"/>
  <c r="E119" i="3"/>
  <c r="I118" i="3"/>
  <c r="G118" i="3"/>
  <c r="F118" i="3"/>
  <c r="E118" i="3"/>
  <c r="E117" i="3"/>
  <c r="G117" i="3"/>
  <c r="F28" i="1"/>
  <c r="F117" i="3" s="1"/>
  <c r="I42" i="3"/>
  <c r="H42" i="3"/>
  <c r="G42" i="3"/>
  <c r="F42" i="3"/>
  <c r="E42" i="3"/>
  <c r="I113" i="3"/>
  <c r="G113" i="3"/>
  <c r="F113" i="3"/>
  <c r="E113" i="3"/>
  <c r="I107" i="3"/>
  <c r="G107" i="3"/>
  <c r="F107" i="3"/>
  <c r="E107" i="3"/>
  <c r="E105" i="3"/>
  <c r="G105" i="3"/>
  <c r="F40" i="1"/>
  <c r="F39" i="1"/>
  <c r="F105" i="3" s="1"/>
  <c r="F38" i="1"/>
  <c r="F34" i="1"/>
  <c r="F35" i="1"/>
  <c r="F33" i="1"/>
  <c r="F124" i="3" s="1"/>
  <c r="J41" i="1"/>
  <c r="F41" i="1" s="1"/>
  <c r="J36" i="1"/>
  <c r="F36" i="1" s="1"/>
  <c r="E104" i="3"/>
  <c r="G104" i="3"/>
  <c r="J62" i="3"/>
  <c r="J56" i="3"/>
  <c r="F27" i="1"/>
  <c r="F104" i="3" s="1"/>
  <c r="I39" i="3"/>
  <c r="I68" i="3" s="1"/>
  <c r="H39" i="3"/>
  <c r="H68" i="3" s="1"/>
  <c r="G39" i="3"/>
  <c r="G68" i="3" s="1"/>
  <c r="F39" i="3"/>
  <c r="F68" i="3" s="1"/>
  <c r="E39" i="3"/>
  <c r="E68" i="3" s="1"/>
  <c r="F37" i="3"/>
  <c r="G37" i="3"/>
  <c r="H37" i="3"/>
  <c r="I37" i="3"/>
  <c r="E37" i="3"/>
  <c r="I35" i="3"/>
  <c r="H35" i="3"/>
  <c r="G35" i="3"/>
  <c r="F35" i="3"/>
  <c r="E35" i="3"/>
  <c r="F46" i="1"/>
  <c r="F96" i="6" s="1"/>
  <c r="F45" i="1"/>
  <c r="F84" i="6" s="1"/>
  <c r="F44" i="1"/>
  <c r="F83" i="6" s="1"/>
  <c r="I99" i="3"/>
  <c r="H99" i="3"/>
  <c r="G99" i="3"/>
  <c r="F99" i="3"/>
  <c r="E99" i="3"/>
  <c r="E98" i="3"/>
  <c r="G98" i="3"/>
  <c r="F26" i="1"/>
  <c r="F98" i="3" s="1"/>
  <c r="I94" i="3"/>
  <c r="H94" i="3"/>
  <c r="G94" i="3"/>
  <c r="F94" i="3"/>
  <c r="E94" i="3"/>
  <c r="E93" i="3"/>
  <c r="G93" i="3"/>
  <c r="F25" i="1"/>
  <c r="F93" i="3" s="1"/>
  <c r="E86" i="3"/>
  <c r="G86" i="3"/>
  <c r="F24" i="1"/>
  <c r="F86" i="3" s="1"/>
  <c r="I88" i="3"/>
  <c r="G88" i="3"/>
  <c r="F88" i="3"/>
  <c r="E88" i="3"/>
  <c r="I87" i="3"/>
  <c r="G87" i="3"/>
  <c r="F87" i="3"/>
  <c r="E87" i="3"/>
  <c r="E85" i="3"/>
  <c r="G85" i="3"/>
  <c r="F23" i="1"/>
  <c r="F85" i="3" s="1"/>
  <c r="J17" i="1"/>
  <c r="F17" i="1" s="1"/>
  <c r="F26" i="3" s="1"/>
  <c r="E27" i="3"/>
  <c r="G27" i="3"/>
  <c r="E26" i="3"/>
  <c r="G26" i="3"/>
  <c r="F18" i="1"/>
  <c r="F27" i="6" s="1"/>
  <c r="E20" i="3"/>
  <c r="G20" i="3"/>
  <c r="E19" i="3"/>
  <c r="G19" i="3"/>
  <c r="F14" i="1"/>
  <c r="F20" i="3" s="1"/>
  <c r="F13" i="1"/>
  <c r="F19" i="3" s="1"/>
  <c r="E4" i="3"/>
  <c r="F4" i="3"/>
  <c r="G4" i="3"/>
  <c r="H4" i="3"/>
  <c r="I4" i="3"/>
  <c r="E3" i="3"/>
  <c r="F3" i="3"/>
  <c r="G3" i="3"/>
  <c r="H3" i="3"/>
  <c r="I3" i="3"/>
  <c r="E2" i="3"/>
  <c r="F2" i="3"/>
  <c r="G2" i="3"/>
  <c r="H2" i="3"/>
  <c r="I2" i="3"/>
  <c r="E1" i="3"/>
  <c r="F1" i="3"/>
  <c r="G1" i="3"/>
  <c r="H1" i="3"/>
  <c r="I1" i="3"/>
  <c r="E11" i="3"/>
  <c r="G11" i="3"/>
  <c r="J9" i="3"/>
  <c r="K9" i="3" s="1"/>
  <c r="L9" i="3" s="1"/>
  <c r="M9" i="3" s="1"/>
  <c r="N9" i="3" s="1"/>
  <c r="O9" i="3" s="1"/>
  <c r="F10" i="1"/>
  <c r="F11" i="3" s="1"/>
  <c r="E18" i="7" l="1"/>
  <c r="F9" i="7"/>
  <c r="N48" i="3"/>
  <c r="M48" i="3"/>
  <c r="L48" i="3"/>
  <c r="K48" i="3"/>
  <c r="J48" i="3"/>
  <c r="J62" i="6"/>
  <c r="F11" i="6"/>
  <c r="J13" i="6" s="1"/>
  <c r="J1" i="7" s="1"/>
  <c r="F135" i="3"/>
  <c r="F20" i="6"/>
  <c r="F26" i="6"/>
  <c r="F19" i="6"/>
  <c r="M9" i="6"/>
  <c r="M52" i="6"/>
  <c r="N61" i="3"/>
  <c r="O54" i="3"/>
  <c r="J64" i="3"/>
  <c r="F27" i="3"/>
  <c r="J13" i="3"/>
  <c r="J14" i="3" s="1"/>
  <c r="N52" i="6" l="1"/>
  <c r="N9" i="6"/>
  <c r="J1" i="6"/>
  <c r="J14" i="6"/>
  <c r="O61" i="3"/>
  <c r="J29" i="3"/>
  <c r="J1" i="3"/>
  <c r="J28" i="3"/>
  <c r="J140" i="3" s="1"/>
  <c r="J141" i="3" s="1"/>
  <c r="K13" i="3"/>
  <c r="J15" i="3"/>
  <c r="J3" i="3" s="1"/>
  <c r="J2" i="3"/>
  <c r="J16" i="3"/>
  <c r="J4" i="3" s="1"/>
  <c r="J22" i="3"/>
  <c r="J21" i="3"/>
  <c r="J22" i="6" l="1"/>
  <c r="J2" i="7"/>
  <c r="J28" i="6"/>
  <c r="O9" i="6"/>
  <c r="J2" i="6"/>
  <c r="J15" i="6"/>
  <c r="J16" i="6"/>
  <c r="J29" i="6"/>
  <c r="J13" i="7" s="1"/>
  <c r="J22" i="7" s="1"/>
  <c r="K13" i="6"/>
  <c r="K1" i="7" s="1"/>
  <c r="J21" i="6"/>
  <c r="O52" i="6"/>
  <c r="J107" i="3"/>
  <c r="J108" i="3" s="1"/>
  <c r="J111" i="3" s="1"/>
  <c r="J128" i="3"/>
  <c r="J129" i="3" s="1"/>
  <c r="J30" i="3"/>
  <c r="J23" i="3"/>
  <c r="J87" i="3" s="1"/>
  <c r="J89" i="3" s="1"/>
  <c r="K1" i="3"/>
  <c r="K14" i="3"/>
  <c r="K21" i="3" s="1"/>
  <c r="J4" i="6" l="1"/>
  <c r="J4" i="7"/>
  <c r="J3" i="6"/>
  <c r="J3" i="7"/>
  <c r="J23" i="6"/>
  <c r="K1" i="6"/>
  <c r="K14" i="6"/>
  <c r="J125" i="6"/>
  <c r="J126" i="6" s="1"/>
  <c r="J104" i="6"/>
  <c r="J105" i="6" s="1"/>
  <c r="J108" i="6" s="1"/>
  <c r="J137" i="6"/>
  <c r="J138" i="6" s="1"/>
  <c r="J30" i="6"/>
  <c r="J137" i="3"/>
  <c r="J142" i="3" s="1"/>
  <c r="J144" i="3" s="1"/>
  <c r="J69" i="3"/>
  <c r="J35" i="3"/>
  <c r="J126" i="3"/>
  <c r="J118" i="3"/>
  <c r="J120" i="3" s="1"/>
  <c r="J125" i="3"/>
  <c r="J130" i="3" s="1"/>
  <c r="J88" i="3"/>
  <c r="J90" i="3" s="1"/>
  <c r="J113" i="3"/>
  <c r="J114" i="3" s="1"/>
  <c r="J42" i="3" s="1"/>
  <c r="J94" i="3"/>
  <c r="J95" i="3" s="1"/>
  <c r="J37" i="3" s="1"/>
  <c r="J99" i="3"/>
  <c r="J100" i="3" s="1"/>
  <c r="J39" i="3" s="1"/>
  <c r="J68" i="3" s="1"/>
  <c r="K28" i="3"/>
  <c r="K140" i="3" s="1"/>
  <c r="K141" i="3" s="1"/>
  <c r="K29" i="3"/>
  <c r="K23" i="3"/>
  <c r="K87" i="3" s="1"/>
  <c r="K22" i="3"/>
  <c r="L13" i="3"/>
  <c r="K2" i="3"/>
  <c r="K16" i="3"/>
  <c r="K4" i="3" s="1"/>
  <c r="K15" i="3"/>
  <c r="K3" i="3" s="1"/>
  <c r="J12" i="7" l="1"/>
  <c r="J24" i="7" s="1"/>
  <c r="J31" i="6"/>
  <c r="K22" i="6"/>
  <c r="K2" i="7"/>
  <c r="J122" i="6"/>
  <c r="J127" i="6" s="1"/>
  <c r="J70" i="6" s="1"/>
  <c r="J134" i="6"/>
  <c r="J139" i="6" s="1"/>
  <c r="J141" i="6" s="1"/>
  <c r="J67" i="6"/>
  <c r="J19" i="7" s="1"/>
  <c r="J86" i="6"/>
  <c r="J88" i="6" s="1"/>
  <c r="J115" i="6"/>
  <c r="J117" i="6" s="1"/>
  <c r="J110" i="6"/>
  <c r="J111" i="6" s="1"/>
  <c r="J43" i="6" s="1"/>
  <c r="K15" i="6"/>
  <c r="K2" i="6"/>
  <c r="K16" i="6"/>
  <c r="L13" i="6"/>
  <c r="L1" i="7" s="1"/>
  <c r="K29" i="6"/>
  <c r="K13" i="7" s="1"/>
  <c r="K22" i="7" s="1"/>
  <c r="K21" i="6"/>
  <c r="K28" i="6"/>
  <c r="J85" i="6"/>
  <c r="J87" i="6" s="1"/>
  <c r="J132" i="3"/>
  <c r="J72" i="3"/>
  <c r="J73" i="3" s="1"/>
  <c r="K107" i="3"/>
  <c r="K108" i="3" s="1"/>
  <c r="K111" i="3" s="1"/>
  <c r="K60" i="3" s="1"/>
  <c r="K128" i="3"/>
  <c r="K129" i="3" s="1"/>
  <c r="J40" i="3"/>
  <c r="J43" i="3" s="1"/>
  <c r="J36" i="3"/>
  <c r="K30" i="3"/>
  <c r="L14" i="3"/>
  <c r="L22" i="3" s="1"/>
  <c r="L1" i="3"/>
  <c r="J17" i="7" l="1"/>
  <c r="J21" i="7"/>
  <c r="J23" i="7" s="1"/>
  <c r="J25" i="7" s="1"/>
  <c r="J16" i="7"/>
  <c r="J14" i="7"/>
  <c r="J71" i="6"/>
  <c r="J20" i="7"/>
  <c r="K4" i="6"/>
  <c r="K4" i="7"/>
  <c r="K3" i="6"/>
  <c r="K3" i="7"/>
  <c r="J129" i="6"/>
  <c r="L14" i="6"/>
  <c r="L1" i="6"/>
  <c r="K23" i="6"/>
  <c r="J123" i="6"/>
  <c r="J91" i="6"/>
  <c r="J36" i="6"/>
  <c r="J97" i="6"/>
  <c r="J98" i="6" s="1"/>
  <c r="J40" i="6" s="1"/>
  <c r="K125" i="6"/>
  <c r="K126" i="6" s="1"/>
  <c r="K104" i="6"/>
  <c r="K105" i="6" s="1"/>
  <c r="K108" i="6" s="1"/>
  <c r="K58" i="6" s="1"/>
  <c r="K30" i="6"/>
  <c r="K12" i="7" s="1"/>
  <c r="K137" i="6"/>
  <c r="K138" i="6" s="1"/>
  <c r="K137" i="3"/>
  <c r="K69" i="3"/>
  <c r="K118" i="3"/>
  <c r="K125" i="3"/>
  <c r="J46" i="3"/>
  <c r="J49" i="3" s="1"/>
  <c r="J119" i="3"/>
  <c r="K88" i="3"/>
  <c r="K90" i="3" s="1"/>
  <c r="K113" i="3"/>
  <c r="K114" i="3" s="1"/>
  <c r="K42" i="3" s="1"/>
  <c r="L29" i="3"/>
  <c r="L28" i="3"/>
  <c r="L140" i="3" s="1"/>
  <c r="L21" i="3"/>
  <c r="M13" i="3"/>
  <c r="L16" i="3"/>
  <c r="L4" i="3" s="1"/>
  <c r="L2" i="3"/>
  <c r="L15" i="3"/>
  <c r="L3" i="3" s="1"/>
  <c r="K31" i="6" l="1"/>
  <c r="J66" i="6"/>
  <c r="J18" i="7"/>
  <c r="L28" i="6"/>
  <c r="L2" i="7"/>
  <c r="J93" i="6"/>
  <c r="J38" i="6" s="1"/>
  <c r="F36" i="7" s="1"/>
  <c r="L29" i="6"/>
  <c r="L13" i="7" s="1"/>
  <c r="L22" i="7" s="1"/>
  <c r="L22" i="6"/>
  <c r="L21" i="6"/>
  <c r="L23" i="6" s="1"/>
  <c r="L85" i="6" s="1"/>
  <c r="L104" i="6"/>
  <c r="L105" i="6" s="1"/>
  <c r="L108" i="6" s="1"/>
  <c r="L58" i="6" s="1"/>
  <c r="L137" i="6"/>
  <c r="L30" i="6"/>
  <c r="L12" i="7" s="1"/>
  <c r="L125" i="6"/>
  <c r="K85" i="6"/>
  <c r="K122" i="6"/>
  <c r="K115" i="6"/>
  <c r="K86" i="6"/>
  <c r="K88" i="6" s="1"/>
  <c r="K134" i="6"/>
  <c r="K110" i="6"/>
  <c r="K111" i="6" s="1"/>
  <c r="K43" i="6" s="1"/>
  <c r="K67" i="6"/>
  <c r="K19" i="7" s="1"/>
  <c r="L15" i="6"/>
  <c r="L2" i="6"/>
  <c r="L16" i="6"/>
  <c r="M13" i="6"/>
  <c r="M1" i="7" s="1"/>
  <c r="J138" i="3"/>
  <c r="J67" i="3"/>
  <c r="J70" i="3" s="1"/>
  <c r="L107" i="3"/>
  <c r="L108" i="3" s="1"/>
  <c r="L111" i="3" s="1"/>
  <c r="L60" i="3" s="1"/>
  <c r="L128" i="3"/>
  <c r="K89" i="3"/>
  <c r="K126" i="3" s="1"/>
  <c r="K130" i="3" s="1"/>
  <c r="K72" i="3" s="1"/>
  <c r="K73" i="3" s="1"/>
  <c r="L30" i="3"/>
  <c r="M14" i="3"/>
  <c r="M21" i="3" s="1"/>
  <c r="M1" i="3"/>
  <c r="L23" i="3"/>
  <c r="L87" i="3" s="1"/>
  <c r="L31" i="6" l="1"/>
  <c r="K14" i="7"/>
  <c r="K24" i="7" s="1"/>
  <c r="L4" i="6"/>
  <c r="L4" i="7"/>
  <c r="L3" i="6"/>
  <c r="L3" i="7"/>
  <c r="K94" i="3"/>
  <c r="K95" i="3" s="1"/>
  <c r="K37" i="3" s="1"/>
  <c r="J37" i="6"/>
  <c r="J41" i="6"/>
  <c r="M14" i="6"/>
  <c r="M1" i="6"/>
  <c r="K87" i="6"/>
  <c r="L115" i="6"/>
  <c r="L86" i="6"/>
  <c r="L88" i="6" s="1"/>
  <c r="L134" i="6"/>
  <c r="L110" i="6"/>
  <c r="L111" i="6" s="1"/>
  <c r="L43" i="6" s="1"/>
  <c r="L122" i="6"/>
  <c r="L67" i="6"/>
  <c r="L19" i="7" s="1"/>
  <c r="K35" i="3"/>
  <c r="L137" i="3"/>
  <c r="L69" i="3"/>
  <c r="K99" i="3"/>
  <c r="K100" i="3" s="1"/>
  <c r="K39" i="3" s="1"/>
  <c r="L118" i="3"/>
  <c r="L125" i="3"/>
  <c r="L88" i="3"/>
  <c r="L90" i="3" s="1"/>
  <c r="L113" i="3"/>
  <c r="L114" i="3" s="1"/>
  <c r="L42" i="3" s="1"/>
  <c r="L89" i="3"/>
  <c r="L126" i="3" s="1"/>
  <c r="M29" i="3"/>
  <c r="M28" i="3"/>
  <c r="M140" i="3" s="1"/>
  <c r="M23" i="3"/>
  <c r="M87" i="3" s="1"/>
  <c r="M22" i="3"/>
  <c r="N13" i="3"/>
  <c r="M2" i="3"/>
  <c r="M16" i="3"/>
  <c r="M4" i="3" s="1"/>
  <c r="M15" i="3"/>
  <c r="M3" i="3" s="1"/>
  <c r="L14" i="7" l="1"/>
  <c r="L24" i="7" s="1"/>
  <c r="J44" i="6"/>
  <c r="J47" i="6" s="1"/>
  <c r="F41" i="7" s="1"/>
  <c r="J15" i="7"/>
  <c r="M21" i="6"/>
  <c r="M2" i="7"/>
  <c r="K36" i="3"/>
  <c r="J116" i="6"/>
  <c r="M29" i="6"/>
  <c r="M13" i="7" s="1"/>
  <c r="M22" i="7" s="1"/>
  <c r="M28" i="6"/>
  <c r="M30" i="6" s="1"/>
  <c r="M22" i="6"/>
  <c r="M23" i="6"/>
  <c r="L87" i="6"/>
  <c r="M104" i="6"/>
  <c r="M105" i="6" s="1"/>
  <c r="M108" i="6" s="1"/>
  <c r="M58" i="6" s="1"/>
  <c r="K123" i="6"/>
  <c r="K127" i="6" s="1"/>
  <c r="K97" i="6"/>
  <c r="K98" i="6" s="1"/>
  <c r="K91" i="6"/>
  <c r="K36" i="6"/>
  <c r="J65" i="6"/>
  <c r="J68" i="6" s="1"/>
  <c r="M15" i="6"/>
  <c r="M2" i="6"/>
  <c r="M16" i="6"/>
  <c r="N13" i="6"/>
  <c r="N1" i="7" s="1"/>
  <c r="K40" i="3"/>
  <c r="K43" i="3" s="1"/>
  <c r="K119" i="3" s="1"/>
  <c r="K120" i="3" s="1"/>
  <c r="K45" i="3" s="1"/>
  <c r="K46" i="3" s="1"/>
  <c r="K49" i="3" s="1"/>
  <c r="K68" i="3"/>
  <c r="K131" i="3"/>
  <c r="K132" i="3" s="1"/>
  <c r="L129" i="3" s="1"/>
  <c r="M107" i="3"/>
  <c r="M108" i="3" s="1"/>
  <c r="M111" i="3" s="1"/>
  <c r="M60" i="3" s="1"/>
  <c r="M128" i="3"/>
  <c r="L130" i="3"/>
  <c r="L72" i="3" s="1"/>
  <c r="L73" i="3" s="1"/>
  <c r="L99" i="3"/>
  <c r="L100" i="3" s="1"/>
  <c r="L35" i="3"/>
  <c r="L94" i="3"/>
  <c r="L95" i="3" s="1"/>
  <c r="L37" i="3" s="1"/>
  <c r="M30" i="3"/>
  <c r="N14" i="3"/>
  <c r="N29" i="3" s="1"/>
  <c r="N1" i="3"/>
  <c r="M12" i="7" l="1"/>
  <c r="M31" i="6"/>
  <c r="M125" i="6"/>
  <c r="M137" i="6"/>
  <c r="J135" i="6"/>
  <c r="M4" i="6"/>
  <c r="M4" i="7"/>
  <c r="M3" i="6"/>
  <c r="M3" i="7"/>
  <c r="K53" i="3"/>
  <c r="K93" i="6"/>
  <c r="K38" i="6" s="1"/>
  <c r="K37" i="6" s="1"/>
  <c r="K70" i="6"/>
  <c r="M122" i="6"/>
  <c r="M115" i="6"/>
  <c r="M86" i="6"/>
  <c r="M88" i="6" s="1"/>
  <c r="M134" i="6"/>
  <c r="M110" i="6"/>
  <c r="M111" i="6" s="1"/>
  <c r="M43" i="6" s="1"/>
  <c r="M67" i="6"/>
  <c r="M19" i="7" s="1"/>
  <c r="L91" i="6"/>
  <c r="L36" i="6"/>
  <c r="L97" i="6"/>
  <c r="L98" i="6" s="1"/>
  <c r="L123" i="6"/>
  <c r="L127" i="6" s="1"/>
  <c r="L70" i="6" s="1"/>
  <c r="K128" i="6"/>
  <c r="K129" i="6" s="1"/>
  <c r="K40" i="6"/>
  <c r="N14" i="6"/>
  <c r="N1" i="6"/>
  <c r="M85" i="6"/>
  <c r="K138" i="3"/>
  <c r="K142" i="3" s="1"/>
  <c r="K144" i="3" s="1"/>
  <c r="K67" i="3"/>
  <c r="K70" i="3" s="1"/>
  <c r="K79" i="3" s="1"/>
  <c r="K80" i="3" s="1"/>
  <c r="M137" i="3"/>
  <c r="M69" i="3"/>
  <c r="L39" i="3"/>
  <c r="L68" i="3" s="1"/>
  <c r="L131" i="3"/>
  <c r="L132" i="3" s="1"/>
  <c r="M118" i="3"/>
  <c r="M125" i="3"/>
  <c r="M88" i="3"/>
  <c r="M90" i="3" s="1"/>
  <c r="M113" i="3"/>
  <c r="M114" i="3" s="1"/>
  <c r="M42" i="3" s="1"/>
  <c r="L36" i="3"/>
  <c r="N22" i="3"/>
  <c r="N21" i="3"/>
  <c r="N23" i="3" s="1"/>
  <c r="N87" i="3" s="1"/>
  <c r="N28" i="3"/>
  <c r="N140" i="3" s="1"/>
  <c r="O13" i="3"/>
  <c r="N16" i="3"/>
  <c r="N4" i="3" s="1"/>
  <c r="N2" i="3"/>
  <c r="N15" i="3"/>
  <c r="N3" i="3" s="1"/>
  <c r="M14" i="7" l="1"/>
  <c r="N31" i="6"/>
  <c r="M24" i="7"/>
  <c r="K66" i="6"/>
  <c r="K18" i="7"/>
  <c r="L71" i="6"/>
  <c r="L20" i="7"/>
  <c r="K71" i="6"/>
  <c r="K20" i="7"/>
  <c r="N22" i="6"/>
  <c r="N2" i="7"/>
  <c r="L40" i="3"/>
  <c r="L43" i="3" s="1"/>
  <c r="L119" i="3" s="1"/>
  <c r="L120" i="3" s="1"/>
  <c r="L45" i="3" s="1"/>
  <c r="L46" i="3" s="1"/>
  <c r="L49" i="3" s="1"/>
  <c r="L93" i="6"/>
  <c r="L38" i="6" s="1"/>
  <c r="L37" i="6" s="1"/>
  <c r="K55" i="3"/>
  <c r="K56" i="3" s="1"/>
  <c r="L78" i="3"/>
  <c r="N29" i="6"/>
  <c r="N13" i="7" s="1"/>
  <c r="N22" i="7" s="1"/>
  <c r="N28" i="6"/>
  <c r="N30" i="6" s="1"/>
  <c r="N12" i="7" s="1"/>
  <c r="M87" i="6"/>
  <c r="M97" i="6" s="1"/>
  <c r="M98" i="6" s="1"/>
  <c r="K51" i="6"/>
  <c r="L126" i="6"/>
  <c r="L128" i="6"/>
  <c r="L40" i="6"/>
  <c r="N21" i="6"/>
  <c r="N2" i="6"/>
  <c r="N16" i="6"/>
  <c r="N15" i="6"/>
  <c r="O13" i="6"/>
  <c r="O1" i="7" s="1"/>
  <c r="K41" i="6"/>
  <c r="L141" i="3"/>
  <c r="K59" i="3"/>
  <c r="K62" i="3" s="1"/>
  <c r="K64" i="3" s="1"/>
  <c r="N107" i="3"/>
  <c r="N108" i="3" s="1"/>
  <c r="N111" i="3" s="1"/>
  <c r="N60" i="3" s="1"/>
  <c r="N128" i="3"/>
  <c r="M129" i="3"/>
  <c r="L53" i="3"/>
  <c r="M89" i="3"/>
  <c r="N30" i="3"/>
  <c r="O14" i="3"/>
  <c r="O22" i="3" s="1"/>
  <c r="H22" i="3" s="1"/>
  <c r="O1" i="3"/>
  <c r="N14" i="7" l="1"/>
  <c r="N24" i="7"/>
  <c r="N104" i="6"/>
  <c r="N105" i="6" s="1"/>
  <c r="N108" i="6" s="1"/>
  <c r="N58" i="6" s="1"/>
  <c r="N137" i="6"/>
  <c r="M123" i="6"/>
  <c r="M127" i="6" s="1"/>
  <c r="M70" i="6" s="1"/>
  <c r="L66" i="6"/>
  <c r="L18" i="7"/>
  <c r="K44" i="6"/>
  <c r="K15" i="7"/>
  <c r="N3" i="6"/>
  <c r="N3" i="7"/>
  <c r="N4" i="6"/>
  <c r="N4" i="7"/>
  <c r="N125" i="6"/>
  <c r="M36" i="6"/>
  <c r="M91" i="6"/>
  <c r="L41" i="6"/>
  <c r="O1" i="6"/>
  <c r="O14" i="6"/>
  <c r="N23" i="6"/>
  <c r="L129" i="6"/>
  <c r="N122" i="6"/>
  <c r="N134" i="6"/>
  <c r="N86" i="6"/>
  <c r="N88" i="6" s="1"/>
  <c r="N110" i="6"/>
  <c r="N111" i="6" s="1"/>
  <c r="N43" i="6" s="1"/>
  <c r="N115" i="6"/>
  <c r="N67" i="6"/>
  <c r="N19" i="7" s="1"/>
  <c r="K116" i="6"/>
  <c r="K117" i="6" s="1"/>
  <c r="K46" i="6" s="1"/>
  <c r="K47" i="6" s="1"/>
  <c r="M128" i="6"/>
  <c r="M40" i="6"/>
  <c r="N137" i="3"/>
  <c r="N69" i="3"/>
  <c r="L138" i="3"/>
  <c r="L142" i="3" s="1"/>
  <c r="L144" i="3" s="1"/>
  <c r="L67" i="3"/>
  <c r="L70" i="3" s="1"/>
  <c r="L79" i="3" s="1"/>
  <c r="L80" i="3" s="1"/>
  <c r="M99" i="3"/>
  <c r="M100" i="3" s="1"/>
  <c r="M126" i="3"/>
  <c r="M130" i="3" s="1"/>
  <c r="M72" i="3" s="1"/>
  <c r="M73" i="3" s="1"/>
  <c r="N118" i="3"/>
  <c r="N125" i="3"/>
  <c r="M94" i="3"/>
  <c r="M95" i="3" s="1"/>
  <c r="M37" i="3" s="1"/>
  <c r="N88" i="3"/>
  <c r="N90" i="3" s="1"/>
  <c r="N113" i="3"/>
  <c r="N114" i="3" s="1"/>
  <c r="N42" i="3" s="1"/>
  <c r="M35" i="3"/>
  <c r="O29" i="3"/>
  <c r="H29" i="3" s="1"/>
  <c r="O28" i="3"/>
  <c r="O140" i="3" s="1"/>
  <c r="O21" i="3"/>
  <c r="O15" i="3"/>
  <c r="O3" i="3" s="1"/>
  <c r="O16" i="3"/>
  <c r="O4" i="3" s="1"/>
  <c r="O2" i="3"/>
  <c r="M66" i="6" l="1"/>
  <c r="M18" i="7"/>
  <c r="K16" i="7"/>
  <c r="K17" i="7" s="1"/>
  <c r="K21" i="7" s="1"/>
  <c r="K23" i="7" s="1"/>
  <c r="K25" i="7" s="1"/>
  <c r="M71" i="6"/>
  <c r="M20" i="7"/>
  <c r="L44" i="6"/>
  <c r="L15" i="7"/>
  <c r="O28" i="6"/>
  <c r="O137" i="6" s="1"/>
  <c r="O2" i="7"/>
  <c r="M93" i="6"/>
  <c r="M38" i="6" s="1"/>
  <c r="M78" i="3"/>
  <c r="L55" i="3"/>
  <c r="L56" i="3" s="1"/>
  <c r="O29" i="6"/>
  <c r="K135" i="6"/>
  <c r="K139" i="6" s="1"/>
  <c r="K141" i="6" s="1"/>
  <c r="K65" i="6"/>
  <c r="K68" i="6" s="1"/>
  <c r="K77" i="6" s="1"/>
  <c r="K78" i="6" s="1"/>
  <c r="L51" i="6"/>
  <c r="M126" i="6"/>
  <c r="M129" i="6" s="1"/>
  <c r="N85" i="6"/>
  <c r="N87" i="6" s="1"/>
  <c r="O16" i="6"/>
  <c r="O2" i="6"/>
  <c r="O15" i="6"/>
  <c r="O21" i="6"/>
  <c r="O22" i="6"/>
  <c r="H22" i="6" s="1"/>
  <c r="L116" i="6"/>
  <c r="L117" i="6" s="1"/>
  <c r="L46" i="6" s="1"/>
  <c r="L47" i="6" s="1"/>
  <c r="M141" i="3"/>
  <c r="L59" i="3"/>
  <c r="L62" i="3" s="1"/>
  <c r="O107" i="3"/>
  <c r="O108" i="3" s="1"/>
  <c r="O111" i="3" s="1"/>
  <c r="O60" i="3" s="1"/>
  <c r="O128" i="3"/>
  <c r="M39" i="3"/>
  <c r="M131" i="3"/>
  <c r="M132" i="3" s="1"/>
  <c r="N89" i="3"/>
  <c r="N99" i="3" s="1"/>
  <c r="N100" i="3" s="1"/>
  <c r="M36" i="3"/>
  <c r="O30" i="3"/>
  <c r="O69" i="3" s="1"/>
  <c r="H28" i="3"/>
  <c r="H140" i="3" s="1"/>
  <c r="H21" i="3"/>
  <c r="O23" i="3"/>
  <c r="H29" i="6" l="1"/>
  <c r="H13" i="7" s="1"/>
  <c r="O13" i="7"/>
  <c r="L16" i="7"/>
  <c r="L17" i="7" s="1"/>
  <c r="L21" i="7" s="1"/>
  <c r="L23" i="7" s="1"/>
  <c r="L25" i="7" s="1"/>
  <c r="H28" i="6"/>
  <c r="H125" i="6" s="1"/>
  <c r="O104" i="6"/>
  <c r="O105" i="6" s="1"/>
  <c r="O108" i="6" s="1"/>
  <c r="O58" i="6" s="1"/>
  <c r="O125" i="6"/>
  <c r="O30" i="6"/>
  <c r="O3" i="6"/>
  <c r="O3" i="7"/>
  <c r="O4" i="6"/>
  <c r="O4" i="7"/>
  <c r="L64" i="3"/>
  <c r="M37" i="6"/>
  <c r="M41" i="6"/>
  <c r="L135" i="6"/>
  <c r="L139" i="6" s="1"/>
  <c r="L65" i="6"/>
  <c r="L68" i="6" s="1"/>
  <c r="L77" i="6" s="1"/>
  <c r="N97" i="6"/>
  <c r="N98" i="6" s="1"/>
  <c r="N123" i="6"/>
  <c r="N127" i="6" s="1"/>
  <c r="N70" i="6" s="1"/>
  <c r="N36" i="6"/>
  <c r="N91" i="6"/>
  <c r="H30" i="6"/>
  <c r="H12" i="7" s="1"/>
  <c r="M51" i="6"/>
  <c r="N126" i="6"/>
  <c r="L76" i="6"/>
  <c r="K53" i="6"/>
  <c r="K54" i="6" s="1"/>
  <c r="O23" i="6"/>
  <c r="H21" i="6"/>
  <c r="K57" i="6"/>
  <c r="K60" i="6" s="1"/>
  <c r="L138" i="6"/>
  <c r="M40" i="3"/>
  <c r="M43" i="3" s="1"/>
  <c r="M119" i="3" s="1"/>
  <c r="M120" i="3" s="1"/>
  <c r="M45" i="3" s="1"/>
  <c r="M46" i="3" s="1"/>
  <c r="M49" i="3" s="1"/>
  <c r="M68" i="3"/>
  <c r="N94" i="3"/>
  <c r="N95" i="3" s="1"/>
  <c r="N37" i="3" s="1"/>
  <c r="N129" i="3"/>
  <c r="M53" i="3"/>
  <c r="N39" i="3"/>
  <c r="N68" i="3" s="1"/>
  <c r="N131" i="3"/>
  <c r="H107" i="3"/>
  <c r="H128" i="3"/>
  <c r="O125" i="3"/>
  <c r="O137" i="3"/>
  <c r="N35" i="3"/>
  <c r="N126" i="3"/>
  <c r="N130" i="3" s="1"/>
  <c r="N72" i="3" s="1"/>
  <c r="N73" i="3" s="1"/>
  <c r="O113" i="3"/>
  <c r="O114" i="3" s="1"/>
  <c r="O42" i="3" s="1"/>
  <c r="O118" i="3"/>
  <c r="H30" i="3"/>
  <c r="H137" i="3" s="1"/>
  <c r="O88" i="3"/>
  <c r="O90" i="3" s="1"/>
  <c r="H23" i="3"/>
  <c r="H87" i="3" s="1"/>
  <c r="O87" i="3"/>
  <c r="O12" i="7" l="1"/>
  <c r="O31" i="6"/>
  <c r="O14" i="7" s="1"/>
  <c r="O67" i="6"/>
  <c r="O19" i="7" s="1"/>
  <c r="O134" i="6"/>
  <c r="O110" i="6"/>
  <c r="O111" i="6" s="1"/>
  <c r="O43" i="6" s="1"/>
  <c r="O86" i="6"/>
  <c r="O88" i="6" s="1"/>
  <c r="H137" i="6"/>
  <c r="H104" i="6"/>
  <c r="O115" i="6"/>
  <c r="O122" i="6"/>
  <c r="N71" i="6"/>
  <c r="N20" i="7"/>
  <c r="M44" i="6"/>
  <c r="M116" i="6" s="1"/>
  <c r="M117" i="6" s="1"/>
  <c r="M46" i="6" s="1"/>
  <c r="M47" i="6" s="1"/>
  <c r="M15" i="7"/>
  <c r="N93" i="6"/>
  <c r="N38" i="6" s="1"/>
  <c r="N36" i="3"/>
  <c r="L78" i="6"/>
  <c r="M76" i="6" s="1"/>
  <c r="L141" i="6"/>
  <c r="L57" i="6" s="1"/>
  <c r="L60" i="6" s="1"/>
  <c r="O85" i="6"/>
  <c r="H23" i="6"/>
  <c r="H85" i="6" s="1"/>
  <c r="H115" i="6"/>
  <c r="H86" i="6"/>
  <c r="H134" i="6"/>
  <c r="H122" i="6"/>
  <c r="H110" i="6"/>
  <c r="K62" i="6"/>
  <c r="N128" i="6"/>
  <c r="N129" i="6" s="1"/>
  <c r="N40" i="6"/>
  <c r="N40" i="3"/>
  <c r="N43" i="3" s="1"/>
  <c r="N119" i="3" s="1"/>
  <c r="N120" i="3" s="1"/>
  <c r="N45" i="3" s="1"/>
  <c r="N46" i="3" s="1"/>
  <c r="N49" i="3" s="1"/>
  <c r="M138" i="3"/>
  <c r="M142" i="3" s="1"/>
  <c r="M144" i="3" s="1"/>
  <c r="M67" i="3"/>
  <c r="M70" i="3" s="1"/>
  <c r="M79" i="3" s="1"/>
  <c r="M80" i="3" s="1"/>
  <c r="N132" i="3"/>
  <c r="H118" i="3"/>
  <c r="H125" i="3"/>
  <c r="H88" i="3"/>
  <c r="H113" i="3"/>
  <c r="O89" i="3"/>
  <c r="O87" i="6" l="1"/>
  <c r="O36" i="6" s="1"/>
  <c r="O24" i="7"/>
  <c r="M16" i="7"/>
  <c r="M17" i="7" s="1"/>
  <c r="M21" i="7" s="1"/>
  <c r="M23" i="7" s="1"/>
  <c r="M25" i="7" s="1"/>
  <c r="N66" i="6"/>
  <c r="N18" i="7"/>
  <c r="M135" i="6"/>
  <c r="M139" i="6" s="1"/>
  <c r="M65" i="6"/>
  <c r="M68" i="6" s="1"/>
  <c r="M77" i="6" s="1"/>
  <c r="M78" i="6" s="1"/>
  <c r="M138" i="6"/>
  <c r="M141" i="6" s="1"/>
  <c r="M57" i="6" s="1"/>
  <c r="M60" i="6" s="1"/>
  <c r="N41" i="6"/>
  <c r="N37" i="6"/>
  <c r="L53" i="6"/>
  <c r="L54" i="6" s="1"/>
  <c r="L62" i="6" s="1"/>
  <c r="N78" i="3"/>
  <c r="M55" i="3"/>
  <c r="M56" i="3" s="1"/>
  <c r="N51" i="6"/>
  <c r="O126" i="6"/>
  <c r="O97" i="6"/>
  <c r="O98" i="6" s="1"/>
  <c r="O123" i="6"/>
  <c r="O127" i="6" s="1"/>
  <c r="O70" i="6" s="1"/>
  <c r="N138" i="3"/>
  <c r="N142" i="3" s="1"/>
  <c r="N67" i="3"/>
  <c r="N70" i="3" s="1"/>
  <c r="N79" i="3" s="1"/>
  <c r="N141" i="3"/>
  <c r="M59" i="3"/>
  <c r="M62" i="3" s="1"/>
  <c r="O129" i="3"/>
  <c r="N53" i="3"/>
  <c r="O35" i="3"/>
  <c r="O126" i="3"/>
  <c r="O130" i="3" s="1"/>
  <c r="O72" i="3" s="1"/>
  <c r="O73" i="3" s="1"/>
  <c r="O99" i="3"/>
  <c r="O100" i="3" s="1"/>
  <c r="O94" i="3"/>
  <c r="O95" i="3" s="1"/>
  <c r="O37" i="3" s="1"/>
  <c r="O36" i="3" s="1"/>
  <c r="O91" i="6" l="1"/>
  <c r="O71" i="6"/>
  <c r="O20" i="7"/>
  <c r="N76" i="6"/>
  <c r="M53" i="6"/>
  <c r="M54" i="6" s="1"/>
  <c r="N44" i="6"/>
  <c r="N116" i="6" s="1"/>
  <c r="N117" i="6" s="1"/>
  <c r="N46" i="6" s="1"/>
  <c r="N47" i="6" s="1"/>
  <c r="N15" i="7"/>
  <c r="N138" i="6"/>
  <c r="M64" i="3"/>
  <c r="M62" i="6"/>
  <c r="O93" i="6"/>
  <c r="O38" i="6" s="1"/>
  <c r="O37" i="6" s="1"/>
  <c r="N144" i="3"/>
  <c r="O141" i="3" s="1"/>
  <c r="N80" i="3"/>
  <c r="N135" i="6"/>
  <c r="N139" i="6" s="1"/>
  <c r="N65" i="6"/>
  <c r="N68" i="6" s="1"/>
  <c r="N77" i="6" s="1"/>
  <c r="N78" i="6" s="1"/>
  <c r="O40" i="6"/>
  <c r="O128" i="6"/>
  <c r="O129" i="6" s="1"/>
  <c r="O51" i="6" s="1"/>
  <c r="O39" i="3"/>
  <c r="O131" i="3"/>
  <c r="O132" i="3" s="1"/>
  <c r="O53" i="3" s="1"/>
  <c r="N16" i="7" l="1"/>
  <c r="N17" i="7" s="1"/>
  <c r="N21" i="7" s="1"/>
  <c r="N23" i="7" s="1"/>
  <c r="N25" i="7" s="1"/>
  <c r="O66" i="6"/>
  <c r="O18" i="7"/>
  <c r="N59" i="3"/>
  <c r="N62" i="3" s="1"/>
  <c r="N141" i="6"/>
  <c r="N55" i="3"/>
  <c r="N56" i="3" s="1"/>
  <c r="O78" i="3"/>
  <c r="O41" i="6"/>
  <c r="N53" i="6"/>
  <c r="N54" i="6" s="1"/>
  <c r="O76" i="6"/>
  <c r="N57" i="6"/>
  <c r="N60" i="6" s="1"/>
  <c r="O138" i="6"/>
  <c r="O40" i="3"/>
  <c r="O43" i="3" s="1"/>
  <c r="O119" i="3" s="1"/>
  <c r="O120" i="3" s="1"/>
  <c r="O45" i="3" s="1"/>
  <c r="O46" i="3" s="1"/>
  <c r="O49" i="3" s="1"/>
  <c r="O68" i="3"/>
  <c r="N64" i="3" l="1"/>
  <c r="O44" i="6"/>
  <c r="O116" i="6" s="1"/>
  <c r="O117" i="6" s="1"/>
  <c r="O46" i="6" s="1"/>
  <c r="O47" i="6" s="1"/>
  <c r="O135" i="6" s="1"/>
  <c r="O139" i="6" s="1"/>
  <c r="O141" i="6" s="1"/>
  <c r="O57" i="6" s="1"/>
  <c r="O60" i="6" s="1"/>
  <c r="O15" i="7"/>
  <c r="N62" i="6"/>
  <c r="O138" i="3"/>
  <c r="O142" i="3" s="1"/>
  <c r="O144" i="3" s="1"/>
  <c r="O59" i="3" s="1"/>
  <c r="O62" i="3" s="1"/>
  <c r="O67" i="3"/>
  <c r="O70" i="3" s="1"/>
  <c r="O79" i="3" s="1"/>
  <c r="O80" i="3" s="1"/>
  <c r="O55" i="3" s="1"/>
  <c r="O56" i="3" s="1"/>
  <c r="O65" i="6" l="1"/>
  <c r="O68" i="6" s="1"/>
  <c r="O77" i="6" s="1"/>
  <c r="O78" i="6" s="1"/>
  <c r="O53" i="6" s="1"/>
  <c r="O54" i="6" s="1"/>
  <c r="O16" i="7"/>
  <c r="O17" i="7" s="1"/>
  <c r="O21" i="7" s="1"/>
  <c r="O64" i="3"/>
  <c r="O62" i="6"/>
  <c r="O22" i="7" l="1"/>
  <c r="O23" i="7" s="1"/>
  <c r="O25" i="7" s="1"/>
  <c r="F27" i="7" s="1"/>
  <c r="F35" i="7" l="1"/>
  <c r="F37" i="7" s="1"/>
  <c r="F30" i="7"/>
  <c r="F40" i="7" l="1"/>
  <c r="F42" i="7" s="1"/>
  <c r="F48" i="7"/>
  <c r="F49" i="7" s="1"/>
  <c r="F52" i="7" l="1"/>
  <c r="F53" i="7" s="1"/>
  <c r="F72" i="7"/>
  <c r="F73" i="7" s="1"/>
  <c r="L77" i="7" s="1"/>
  <c r="M77" i="7" s="1"/>
  <c r="F59" i="7"/>
  <c r="F64" i="7" l="1"/>
  <c r="L84" i="7" s="1"/>
  <c r="M84" i="7" s="1"/>
  <c r="J45" i="8" s="1"/>
  <c r="F95" i="8" l="1"/>
  <c r="J100" i="8" s="1"/>
  <c r="K97" i="8" l="1"/>
  <c r="J144" i="8"/>
  <c r="K100" i="8"/>
  <c r="K102" i="8"/>
  <c r="K17" i="8" s="1"/>
  <c r="L97" i="8" l="1"/>
  <c r="K45" i="8"/>
  <c r="K144" i="8"/>
  <c r="K119" i="8"/>
  <c r="K129" i="8"/>
  <c r="K131" i="8" s="1"/>
  <c r="K135" i="8"/>
  <c r="K139" i="8"/>
  <c r="K18" i="8"/>
  <c r="K106" i="8" s="1"/>
  <c r="K107" i="8" s="1"/>
  <c r="K20" i="8" s="1"/>
  <c r="K21" i="8" s="1"/>
  <c r="K52" i="8" s="1"/>
  <c r="K55" i="8" s="1"/>
  <c r="K64" i="8" s="1"/>
  <c r="K65" i="8" s="1"/>
  <c r="K123" i="8"/>
  <c r="K114" i="8"/>
  <c r="K115" i="8" s="1"/>
  <c r="L100" i="8"/>
  <c r="L102" i="8"/>
  <c r="L17" i="8" s="1"/>
  <c r="L144" i="8" l="1"/>
  <c r="L45" i="8"/>
  <c r="K39" i="8"/>
  <c r="K41" i="8" s="1"/>
  <c r="L63" i="8"/>
  <c r="L119" i="8"/>
  <c r="L135" i="8"/>
  <c r="L139" i="8"/>
  <c r="L129" i="8"/>
  <c r="L131" i="8" s="1"/>
  <c r="K118" i="8"/>
  <c r="K121" i="8" s="1"/>
  <c r="K124" i="8" s="1"/>
  <c r="K134" i="8"/>
  <c r="K137" i="8" s="1"/>
  <c r="K141" i="8" s="1"/>
  <c r="L18" i="8"/>
  <c r="L106" i="8" s="1"/>
  <c r="L107" i="8" s="1"/>
  <c r="L20" i="8" s="1"/>
  <c r="L21" i="8" s="1"/>
  <c r="L114" i="8"/>
  <c r="L115" i="8" s="1"/>
  <c r="L123" i="8"/>
  <c r="L52" i="8"/>
  <c r="L55" i="8" s="1"/>
  <c r="L134" i="8" s="1"/>
  <c r="L137" i="8" s="1"/>
  <c r="L141" i="8" s="1"/>
  <c r="M97" i="8"/>
  <c r="M100" i="8" s="1"/>
  <c r="M102" i="8" l="1"/>
  <c r="M17" i="8" s="1"/>
  <c r="M45" i="8"/>
  <c r="M144" i="8"/>
  <c r="M119" i="8"/>
  <c r="M135" i="8"/>
  <c r="M139" i="8"/>
  <c r="M129" i="8"/>
  <c r="M131" i="8" s="1"/>
  <c r="L64" i="8"/>
  <c r="L65" i="8" s="1"/>
  <c r="L39" i="8" s="1"/>
  <c r="L41" i="8" s="1"/>
  <c r="L118" i="8"/>
  <c r="M18" i="8"/>
  <c r="M106" i="8" s="1"/>
  <c r="M107" i="8" s="1"/>
  <c r="M20" i="8" s="1"/>
  <c r="M21" i="8" s="1"/>
  <c r="M52" i="8" s="1"/>
  <c r="M55" i="8" s="1"/>
  <c r="M134" i="8" s="1"/>
  <c r="M137" i="8" s="1"/>
  <c r="M141" i="8" s="1"/>
  <c r="M114" i="8"/>
  <c r="M115" i="8" s="1"/>
  <c r="M123" i="8"/>
  <c r="N97" i="8"/>
  <c r="N102" i="8" s="1"/>
  <c r="N17" i="8" s="1"/>
  <c r="M63" i="8"/>
  <c r="N100" i="8"/>
  <c r="N144" i="8" l="1"/>
  <c r="N45" i="8"/>
  <c r="N119" i="8"/>
  <c r="N135" i="8"/>
  <c r="N139" i="8"/>
  <c r="N129" i="8"/>
  <c r="N131" i="8" s="1"/>
  <c r="L121" i="8"/>
  <c r="L124" i="8" s="1"/>
  <c r="M64" i="8"/>
  <c r="M118" i="8"/>
  <c r="M121" i="8" s="1"/>
  <c r="M124" i="8" s="1"/>
  <c r="M65" i="8"/>
  <c r="N18" i="8"/>
  <c r="N106" i="8" s="1"/>
  <c r="N107" i="8" s="1"/>
  <c r="N20" i="8" s="1"/>
  <c r="N21" i="8" s="1"/>
  <c r="N52" i="8" s="1"/>
  <c r="N55" i="8" s="1"/>
  <c r="N134" i="8" s="1"/>
  <c r="N137" i="8" s="1"/>
  <c r="N141" i="8" s="1"/>
  <c r="N114" i="8"/>
  <c r="N115" i="8" s="1"/>
  <c r="N123" i="8"/>
  <c r="O97" i="8"/>
  <c r="O100" i="8"/>
  <c r="O102" i="8"/>
  <c r="O17" i="8" s="1"/>
  <c r="O144" i="8" l="1"/>
  <c r="O45" i="8"/>
  <c r="M39" i="8"/>
  <c r="M41" i="8" s="1"/>
  <c r="O119" i="8"/>
  <c r="O135" i="8"/>
  <c r="O139" i="8"/>
  <c r="O129" i="8"/>
  <c r="O131" i="8" s="1"/>
  <c r="N64" i="8"/>
  <c r="N118" i="8"/>
  <c r="N63" i="8"/>
  <c r="O18" i="8"/>
  <c r="O106" i="8" s="1"/>
  <c r="O107" i="8" s="1"/>
  <c r="O20" i="8" s="1"/>
  <c r="O21" i="8" s="1"/>
  <c r="O52" i="8" s="1"/>
  <c r="O55" i="8" s="1"/>
  <c r="O134" i="8" s="1"/>
  <c r="O137" i="8" s="1"/>
  <c r="O141" i="8" s="1"/>
  <c r="O114" i="8"/>
  <c r="O115" i="8" s="1"/>
  <c r="O123" i="8"/>
  <c r="N121" i="8" l="1"/>
  <c r="N124" i="8" s="1"/>
  <c r="N65" i="8"/>
  <c r="N39" i="8" s="1"/>
  <c r="O64" i="8"/>
  <c r="O118" i="8"/>
  <c r="O121" i="8" l="1"/>
  <c r="O124" i="8" s="1"/>
  <c r="O63" i="8"/>
  <c r="O65" i="8" s="1"/>
  <c r="N41" i="8"/>
  <c r="F72" i="1"/>
  <c r="F57" i="7" s="1"/>
  <c r="F60" i="7" s="1"/>
  <c r="O39" i="8" l="1"/>
  <c r="O41" i="8" s="1"/>
  <c r="F66" i="7"/>
  <c r="F61" i="7"/>
  <c r="F68" i="7" l="1"/>
  <c r="F28" i="8" s="1"/>
  <c r="K29" i="8" s="1"/>
  <c r="L83" i="7"/>
  <c r="M83" i="7" s="1"/>
  <c r="M86" i="7" l="1"/>
  <c r="M88" i="7" s="1"/>
  <c r="J44" i="8"/>
  <c r="K30" i="8"/>
  <c r="K32" i="8" s="1"/>
  <c r="K33" i="8" s="1"/>
  <c r="L29" i="8"/>
  <c r="J145" i="8" l="1"/>
  <c r="J146" i="8" s="1"/>
  <c r="K44" i="8"/>
  <c r="J47" i="8"/>
  <c r="K49" i="8" s="1"/>
  <c r="M29" i="8"/>
  <c r="L30" i="8"/>
  <c r="L32" i="8" s="1"/>
  <c r="L33" i="8" s="1"/>
  <c r="L44" i="8" l="1"/>
  <c r="K145" i="8"/>
  <c r="K146" i="8" s="1"/>
  <c r="K47" i="8"/>
  <c r="M30" i="8"/>
  <c r="M32" i="8" s="1"/>
  <c r="M33" i="8" s="1"/>
  <c r="N29" i="8"/>
  <c r="M44" i="8" l="1"/>
  <c r="L145" i="8"/>
  <c r="L146" i="8" s="1"/>
  <c r="L47" i="8"/>
  <c r="L49" i="8" s="1"/>
  <c r="N30" i="8"/>
  <c r="N32" i="8" s="1"/>
  <c r="N33" i="8" s="1"/>
  <c r="O29" i="8"/>
  <c r="O30" i="8" s="1"/>
  <c r="O32" i="8" s="1"/>
  <c r="O33" i="8" s="1"/>
  <c r="N44" i="8" l="1"/>
  <c r="M145" i="8"/>
  <c r="M146" i="8" s="1"/>
  <c r="M47" i="8"/>
  <c r="M49" i="8" s="1"/>
  <c r="O44" i="8" l="1"/>
  <c r="N145" i="8"/>
  <c r="N146" i="8" s="1"/>
  <c r="N47" i="8"/>
  <c r="N49" i="8" s="1"/>
  <c r="O145" i="8" l="1"/>
  <c r="O146" i="8" s="1"/>
  <c r="O47" i="8"/>
  <c r="O49" i="8" s="1"/>
</calcChain>
</file>

<file path=xl/sharedStrings.xml><?xml version="1.0" encoding="utf-8"?>
<sst xmlns="http://schemas.openxmlformats.org/spreadsheetml/2006/main" count="547" uniqueCount="171">
  <si>
    <t>TIMELINE</t>
  </si>
  <si>
    <t>Model Start</t>
  </si>
  <si>
    <t>Model Start Date</t>
  </si>
  <si>
    <t>Constant</t>
  </si>
  <si>
    <t>Unit</t>
  </si>
  <si>
    <t>Total</t>
  </si>
  <si>
    <t>Date</t>
  </si>
  <si>
    <t>Model Counter</t>
  </si>
  <si>
    <t>Counter</t>
  </si>
  <si>
    <t>Period Start</t>
  </si>
  <si>
    <t>Period End</t>
  </si>
  <si>
    <t>Number of Days</t>
  </si>
  <si>
    <t>Financial Year</t>
  </si>
  <si>
    <t>Days</t>
  </si>
  <si>
    <t>Year</t>
  </si>
  <si>
    <t>Actuals</t>
  </si>
  <si>
    <t>Actual Start Date</t>
  </si>
  <si>
    <t>Actual End Date</t>
  </si>
  <si>
    <t>Actuals Start</t>
  </si>
  <si>
    <t>Flag</t>
  </si>
  <si>
    <t>Actuals End</t>
  </si>
  <si>
    <t>Actuals Active</t>
  </si>
  <si>
    <t>Projections</t>
  </si>
  <si>
    <t>Projection Start Date</t>
  </si>
  <si>
    <t>Projection End Date</t>
  </si>
  <si>
    <t>Projections Start</t>
  </si>
  <si>
    <t>Projections End</t>
  </si>
  <si>
    <t>Projections Active</t>
  </si>
  <si>
    <t>FINANCIAL STATEMENTS</t>
  </si>
  <si>
    <t>Income Statement</t>
  </si>
  <si>
    <t>Revenue</t>
  </si>
  <si>
    <t>OPERATIONS</t>
  </si>
  <si>
    <t>Alpha Manufacturers Ltd</t>
  </si>
  <si>
    <t>INR Crs</t>
  </si>
  <si>
    <t>EBITDA Margin</t>
  </si>
  <si>
    <t>Revenue Growth Rate</t>
  </si>
  <si>
    <t>%</t>
  </si>
  <si>
    <t xml:space="preserve">EBITDA </t>
  </si>
  <si>
    <t>Depreciation</t>
  </si>
  <si>
    <t>% of Revenue</t>
  </si>
  <si>
    <t>EBITDA</t>
  </si>
  <si>
    <t>Beta Componenets Pvt. Ltd.</t>
  </si>
  <si>
    <t>WORKINGS</t>
  </si>
  <si>
    <t>Operating Expenses</t>
  </si>
  <si>
    <t>EBIT</t>
  </si>
  <si>
    <t>Interest Rate</t>
  </si>
  <si>
    <t>Balance Sheet</t>
  </si>
  <si>
    <t>Fixed Assets</t>
  </si>
  <si>
    <t>Working Capital</t>
  </si>
  <si>
    <t>Cash</t>
  </si>
  <si>
    <t>Total Assets</t>
  </si>
  <si>
    <t>Assets</t>
  </si>
  <si>
    <t>Liabilities</t>
  </si>
  <si>
    <t>Equity (Net Worth)</t>
  </si>
  <si>
    <t>Long-term Debt</t>
  </si>
  <si>
    <t>Other Liabilities</t>
  </si>
  <si>
    <t>Total Liabilities</t>
  </si>
  <si>
    <t>Balance sheet - Check</t>
  </si>
  <si>
    <t>Cash Flow Statement</t>
  </si>
  <si>
    <t>Long Term Debt</t>
  </si>
  <si>
    <t>Balance Sheet Inputs</t>
  </si>
  <si>
    <t>Long Term Debt - Opening Balance</t>
  </si>
  <si>
    <t>Long Term Debt - Addition</t>
  </si>
  <si>
    <t>Long Term Debt - Repayment</t>
  </si>
  <si>
    <t>Long Term Debt - Closing Balance</t>
  </si>
  <si>
    <t>Interest Expense</t>
  </si>
  <si>
    <t>Profit Before Tax</t>
  </si>
  <si>
    <t>Tax Expense</t>
  </si>
  <si>
    <t>Corporate Tax Rate</t>
  </si>
  <si>
    <t>Corporate Income Tax Rate</t>
  </si>
  <si>
    <t>Profit After Tax</t>
  </si>
  <si>
    <t>Capital Expenditure</t>
  </si>
  <si>
    <t>Fixed Assets - Opening Balance</t>
  </si>
  <si>
    <t>Fixed Assets - Capital Expenditure</t>
  </si>
  <si>
    <t>Fixed Assets - Depreciation</t>
  </si>
  <si>
    <t>Fixed Assets - Closing Balance</t>
  </si>
  <si>
    <t>Retained Earnings</t>
  </si>
  <si>
    <t>Equity (Net Worth)  - Opening Balance</t>
  </si>
  <si>
    <t>Equity (Net Worth)  - PAT</t>
  </si>
  <si>
    <t>Equity (Net Worth)  - Dividends</t>
  </si>
  <si>
    <t>Equity (Net Worth)  - Closing Balance</t>
  </si>
  <si>
    <t>Changes in working capital</t>
  </si>
  <si>
    <t>Cash Flow From Operations</t>
  </si>
  <si>
    <t>Cash Flow From Investing Activities</t>
  </si>
  <si>
    <t>Cash Flow From Financing Activities</t>
  </si>
  <si>
    <t>Opening Cash</t>
  </si>
  <si>
    <t>Net Change in Cash</t>
  </si>
  <si>
    <t>Closing Cash</t>
  </si>
  <si>
    <t>Pre- Transaction Shares Oustanding</t>
  </si>
  <si>
    <t>Crores</t>
  </si>
  <si>
    <t>Earnings Per Share</t>
  </si>
  <si>
    <t>INR</t>
  </si>
  <si>
    <t>VALUATION</t>
  </si>
  <si>
    <t>NOPAT</t>
  </si>
  <si>
    <t>Taxes</t>
  </si>
  <si>
    <t>Free Cash Flow to Firm/ Unlevered Cash Flows</t>
  </si>
  <si>
    <t>WACC</t>
  </si>
  <si>
    <t>Terminal Growth Rate</t>
  </si>
  <si>
    <t>Terminal Value of FCFF</t>
  </si>
  <si>
    <t>Total Cashflows to be discounted</t>
  </si>
  <si>
    <t>Discounting Factor</t>
  </si>
  <si>
    <t>Projections Period</t>
  </si>
  <si>
    <t>Discounted Cash Flows</t>
  </si>
  <si>
    <t>Enterprise Value of Beta Componenets</t>
  </si>
  <si>
    <t>Equity Value of Beta Components</t>
  </si>
  <si>
    <t>RATIOS</t>
  </si>
  <si>
    <t>Enterprise Value to EBITDA</t>
  </si>
  <si>
    <t>EV/ EBITDA</t>
  </si>
  <si>
    <t>Times</t>
  </si>
  <si>
    <t>Price to Earnings Ratio</t>
  </si>
  <si>
    <t>Profit Ater Tax</t>
  </si>
  <si>
    <t>P/E Ratio</t>
  </si>
  <si>
    <t>TRANSACTION INPUTS</t>
  </si>
  <si>
    <t>Transaction Date</t>
  </si>
  <si>
    <t>Transaction Premium</t>
  </si>
  <si>
    <t>TRANSACTION DETAILS</t>
  </si>
  <si>
    <t>Equity Value To be Paid</t>
  </si>
  <si>
    <t>Target Acquisition Proportion</t>
  </si>
  <si>
    <t>Deal Structure</t>
  </si>
  <si>
    <t>Stock</t>
  </si>
  <si>
    <t>Total Consideration to be Paid to Seller</t>
  </si>
  <si>
    <t>To be Paid in Cash</t>
  </si>
  <si>
    <t>To be Paid in Stock</t>
  </si>
  <si>
    <t>Total Consideration to be paid to Seller</t>
  </si>
  <si>
    <t>Debt Raised in Lieu of Cash</t>
  </si>
  <si>
    <t>Total Debt Raised</t>
  </si>
  <si>
    <t>Alpha Ltd. Share Price</t>
  </si>
  <si>
    <t>New Shares to be issued</t>
  </si>
  <si>
    <t>Transaction Expenses</t>
  </si>
  <si>
    <t>% of Transaction Value</t>
  </si>
  <si>
    <t>Transaction Fees</t>
  </si>
  <si>
    <t>Total Transaction Fees</t>
  </si>
  <si>
    <t>Balance Sheet Adjustments</t>
  </si>
  <si>
    <t>Alpha</t>
  </si>
  <si>
    <t>Beta</t>
  </si>
  <si>
    <t>Adjustments</t>
  </si>
  <si>
    <t>Proforma</t>
  </si>
  <si>
    <t>Balance Sheet - Check</t>
  </si>
  <si>
    <t>Goodwill</t>
  </si>
  <si>
    <t>SCHEDULES</t>
  </si>
  <si>
    <t>Total Revenue</t>
  </si>
  <si>
    <t>Operational Expenditure</t>
  </si>
  <si>
    <t>POST TRANSACTION INPUTS</t>
  </si>
  <si>
    <t>Synergies</t>
  </si>
  <si>
    <t>Cost Synergies</t>
  </si>
  <si>
    <t>Cost Synergies - Start Year</t>
  </si>
  <si>
    <t>Integration Cost</t>
  </si>
  <si>
    <t>Total Operational Expenditure Pre- Synergies</t>
  </si>
  <si>
    <t>Total Operational Expenditure Post- Synergies</t>
  </si>
  <si>
    <t>Debt</t>
  </si>
  <si>
    <t>Debt - Opening Balance</t>
  </si>
  <si>
    <t>Debt - Addition</t>
  </si>
  <si>
    <t>Debt - Closing Balance</t>
  </si>
  <si>
    <t>Corporate Income Tax</t>
  </si>
  <si>
    <t>Shares Outstanding</t>
  </si>
  <si>
    <t>Pre- Transaction</t>
  </si>
  <si>
    <t>Accretion/ Dilution Analysis - INR</t>
  </si>
  <si>
    <t>Accretion/ Dilution Analysis - %</t>
  </si>
  <si>
    <t>Debt Repayment</t>
  </si>
  <si>
    <t>ANALYSIS</t>
  </si>
  <si>
    <t>Interest Coverage Ratio</t>
  </si>
  <si>
    <t>Accrual Basis</t>
  </si>
  <si>
    <t>Interest Service Coverage Ratio</t>
  </si>
  <si>
    <t>Cash Basis</t>
  </si>
  <si>
    <t>Debt - Repayment</t>
  </si>
  <si>
    <t>Total Cash Available for Interest Payment</t>
  </si>
  <si>
    <t>Debt Service Coverage Ratio</t>
  </si>
  <si>
    <t>Debt/ Equity</t>
  </si>
  <si>
    <t>Debt to Equity Ratio</t>
  </si>
  <si>
    <t>Ratio</t>
  </si>
  <si>
    <t>Loan To Value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</si>
</sst>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\ mmm\ yy_);\(###0\);&quot;-  &quot;;&quot; &quot;@&quot; &quot;"/>
    <numFmt numFmtId="165" formatCode="#,##0_);\(#,##0\);&quot;-  &quot;;&quot; &quot;@&quot; &quot;"/>
    <numFmt numFmtId="166" formatCode="0_);\-0_);&quot;-  &quot;;&quot; &quot;@&quot; &quot;"/>
    <numFmt numFmtId="167" formatCode="0.00%_);\-0.00%_);&quot;-  &quot;;&quot; &quot;@&quot; &quot;"/>
    <numFmt numFmtId="168" formatCode="#,##0.0_);\(#,##0.0\);&quot;-  &quot;;&quot; &quot;@&quot; &quot;"/>
    <numFmt numFmtId="169" formatCode="#,##0.00_);\(#,##0.00\);&quot;-  &quot;;&quot; &quot;@&quot; &quot;"/>
    <numFmt numFmtId="170" formatCode="#,##0.000_);\(#,##0.000\);&quot;-  &quot;;&quot; &quot;@&quot; &quot;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165" fontId="0" fillId="0" borderId="0"/>
  </cellStyleXfs>
  <cellXfs count="37">
    <xf numFmtId="165" fontId="0" fillId="0" borderId="0" xfId="0"/>
    <xf numFmtId="165" fontId="0" fillId="2" borderId="0" xfId="0" applyFill="1"/>
    <xf numFmtId="165" fontId="1" fillId="2" borderId="0" xfId="0" applyFont="1" applyFill="1"/>
    <xf numFmtId="165" fontId="1" fillId="0" borderId="0" xfId="0" applyFont="1"/>
    <xf numFmtId="165" fontId="2" fillId="2" borderId="0" xfId="0" applyFont="1" applyFill="1"/>
    <xf numFmtId="165" fontId="2" fillId="0" borderId="0" xfId="0" applyFont="1"/>
    <xf numFmtId="165" fontId="0" fillId="3" borderId="0" xfId="0" applyFill="1"/>
    <xf numFmtId="0" fontId="3" fillId="0" borderId="0" xfId="0" applyNumberFormat="1" applyFont="1"/>
    <xf numFmtId="15" fontId="3" fillId="0" borderId="0" xfId="0" applyNumberFormat="1" applyFont="1"/>
    <xf numFmtId="164" fontId="0" fillId="0" borderId="0" xfId="0" applyNumberFormat="1"/>
    <xf numFmtId="166" fontId="0" fillId="0" borderId="0" xfId="0" applyNumberFormat="1"/>
    <xf numFmtId="165" fontId="4" fillId="0" borderId="0" xfId="0" applyFont="1"/>
    <xf numFmtId="164" fontId="4" fillId="0" borderId="0" xfId="0" applyNumberFormat="1" applyFont="1"/>
    <xf numFmtId="166" fontId="4" fillId="0" borderId="0" xfId="0" applyNumberFormat="1" applyFont="1"/>
    <xf numFmtId="164" fontId="0" fillId="3" borderId="0" xfId="0" applyNumberFormat="1" applyFill="1"/>
    <xf numFmtId="165" fontId="3" fillId="0" borderId="0" xfId="0" applyFont="1"/>
    <xf numFmtId="164" fontId="3" fillId="0" borderId="0" xfId="0" applyNumberFormat="1" applyFont="1"/>
    <xf numFmtId="167" fontId="0" fillId="3" borderId="0" xfId="0" applyNumberFormat="1" applyFill="1"/>
    <xf numFmtId="167" fontId="0" fillId="0" borderId="0" xfId="0" applyNumberFormat="1"/>
    <xf numFmtId="167" fontId="3" fillId="0" borderId="0" xfId="0" applyNumberFormat="1" applyFont="1"/>
    <xf numFmtId="165" fontId="0" fillId="0" borderId="1" xfId="0" applyBorder="1"/>
    <xf numFmtId="165" fontId="1" fillId="0" borderId="1" xfId="0" applyFont="1" applyBorder="1"/>
    <xf numFmtId="165" fontId="2" fillId="0" borderId="1" xfId="0" applyFont="1" applyBorder="1"/>
    <xf numFmtId="165" fontId="5" fillId="0" borderId="1" xfId="0" applyFont="1" applyBorder="1"/>
    <xf numFmtId="165" fontId="6" fillId="0" borderId="1" xfId="0" applyFont="1" applyBorder="1"/>
    <xf numFmtId="165" fontId="4" fillId="3" borderId="0" xfId="0" applyFont="1" applyFill="1"/>
    <xf numFmtId="167" fontId="4" fillId="3" borderId="0" xfId="0" applyNumberFormat="1" applyFont="1" applyFill="1"/>
    <xf numFmtId="166" fontId="3" fillId="0" borderId="0" xfId="0" applyNumberFormat="1" applyFont="1"/>
    <xf numFmtId="169" fontId="4" fillId="0" borderId="0" xfId="0" applyNumberFormat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5" fontId="5" fillId="0" borderId="0" xfId="0" applyFont="1"/>
    <xf numFmtId="165" fontId="7" fillId="0" borderId="0" xfId="0" applyFont="1"/>
    <xf numFmtId="165" fontId="3" fillId="2" borderId="0" xfId="0" applyFont="1" applyFill="1"/>
    <xf numFmtId="169" fontId="3" fillId="0" borderId="0" xfId="0" applyNumberFormat="1" applyFont="1"/>
    <xf numFmtId="168" fontId="3" fillId="0" borderId="0" xfId="0" applyNumberFormat="1" applyFont="1"/>
  </cellXfs>
  <cellStyles count="1">
    <cellStyle name="Normal" xfId="0" builtinId="0" customBuiltin="1"/>
  </cellStyles>
  <dxfs count="0"/>
  <tableStyles count="1" defaultTableStyle="TableStyleMedium2" defaultPivotStyle="PivotStyleLight16">
    <tableStyle name="Invisible" pivot="0" table="0" count="0" xr9:uid="{B02B357B-75BF-4A7F-B533-69DBB2FD53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BBC5-923B-421F-BAF1-83CAB94CEB76}">
  <sheetPr>
    <tabColor rgb="FFFFFF00"/>
  </sheetPr>
  <dimension ref="A6:J88"/>
  <sheetViews>
    <sheetView showGridLines="0" zoomScale="130" zoomScaleNormal="130" workbookViewId="0">
      <pane xSplit="9" ySplit="6" topLeftCell="J60" activePane="bottomRight" state="frozen"/>
      <selection activeCell="O61" sqref="O61"/>
      <selection pane="topRight" activeCell="O61" sqref="O61"/>
      <selection pane="bottomLeft" activeCell="O61" sqref="O61"/>
      <selection pane="bottomRight" activeCell="J71" sqref="J71"/>
    </sheetView>
  </sheetViews>
  <sheetFormatPr defaultColWidth="0" defaultRowHeight="13" x14ac:dyDescent="0.3"/>
  <cols>
    <col min="1" max="2" width="1.81640625" style="3" customWidth="1"/>
    <col min="3" max="3" width="1.81640625" style="5" customWidth="1"/>
    <col min="4" max="4" width="1.81640625" customWidth="1"/>
    <col min="5" max="5" width="40.81640625" customWidth="1"/>
    <col min="6" max="8" width="10.08984375" bestFit="1" customWidth="1"/>
    <col min="9" max="9" width="1.81640625" customWidth="1"/>
    <col min="10" max="10" width="12.08984375" bestFit="1" customWidth="1"/>
    <col min="11" max="16384" width="8.90625" hidden="1"/>
  </cols>
  <sheetData>
    <row r="6" spans="1:10" x14ac:dyDescent="0.3">
      <c r="F6" t="s">
        <v>3</v>
      </c>
      <c r="G6" t="s">
        <v>4</v>
      </c>
      <c r="H6" t="s">
        <v>5</v>
      </c>
    </row>
    <row r="7" spans="1:10" s="1" customFormat="1" x14ac:dyDescent="0.3">
      <c r="A7" s="2" t="s">
        <v>0</v>
      </c>
      <c r="B7" s="2"/>
      <c r="C7" s="4"/>
    </row>
    <row r="9" spans="1:10" x14ac:dyDescent="0.3">
      <c r="B9" s="3" t="s">
        <v>1</v>
      </c>
    </row>
    <row r="10" spans="1:10" x14ac:dyDescent="0.3">
      <c r="E10" t="s">
        <v>2</v>
      </c>
      <c r="F10" s="9">
        <f>J10</f>
        <v>45658</v>
      </c>
      <c r="G10" t="s">
        <v>6</v>
      </c>
      <c r="J10" s="14">
        <v>45658</v>
      </c>
    </row>
    <row r="11" spans="1:10" x14ac:dyDescent="0.3">
      <c r="F11" s="9"/>
      <c r="J11" s="9"/>
    </row>
    <row r="12" spans="1:10" x14ac:dyDescent="0.3">
      <c r="B12" s="3" t="s">
        <v>15</v>
      </c>
      <c r="F12" s="9"/>
      <c r="J12" s="9"/>
    </row>
    <row r="13" spans="1:10" x14ac:dyDescent="0.3">
      <c r="E13" t="s">
        <v>16</v>
      </c>
      <c r="F13" s="9">
        <f>J13</f>
        <v>45658</v>
      </c>
      <c r="G13" t="s">
        <v>6</v>
      </c>
      <c r="J13" s="14">
        <v>45658</v>
      </c>
    </row>
    <row r="14" spans="1:10" x14ac:dyDescent="0.3">
      <c r="E14" t="s">
        <v>17</v>
      </c>
      <c r="F14" s="9">
        <f>J14</f>
        <v>46022</v>
      </c>
      <c r="G14" t="s">
        <v>6</v>
      </c>
      <c r="J14" s="14">
        <v>46022</v>
      </c>
    </row>
    <row r="16" spans="1:10" x14ac:dyDescent="0.3">
      <c r="B16" s="3" t="s">
        <v>22</v>
      </c>
      <c r="F16" s="9"/>
      <c r="J16" s="9"/>
    </row>
    <row r="17" spans="1:10" x14ac:dyDescent="0.3">
      <c r="E17" t="s">
        <v>23</v>
      </c>
      <c r="F17" s="9">
        <f>J17</f>
        <v>46023</v>
      </c>
      <c r="G17" t="s">
        <v>6</v>
      </c>
      <c r="J17" s="9">
        <f xml:space="preserve"> J14 + 1</f>
        <v>46023</v>
      </c>
    </row>
    <row r="18" spans="1:10" x14ac:dyDescent="0.3">
      <c r="E18" t="s">
        <v>24</v>
      </c>
      <c r="F18" s="9">
        <f>J18</f>
        <v>47848</v>
      </c>
      <c r="G18" t="s">
        <v>6</v>
      </c>
      <c r="J18" s="14">
        <v>47848</v>
      </c>
    </row>
    <row r="20" spans="1:10" s="1" customFormat="1" x14ac:dyDescent="0.3">
      <c r="A20" s="2" t="s">
        <v>31</v>
      </c>
      <c r="B20" s="2"/>
      <c r="C20" s="4"/>
    </row>
    <row r="22" spans="1:10" x14ac:dyDescent="0.3">
      <c r="B22" s="3" t="s">
        <v>32</v>
      </c>
    </row>
    <row r="23" spans="1:10" x14ac:dyDescent="0.3">
      <c r="E23" t="s">
        <v>30</v>
      </c>
      <c r="F23">
        <f t="shared" ref="F23:F29" si="0">J23</f>
        <v>5000</v>
      </c>
      <c r="G23" t="s">
        <v>33</v>
      </c>
      <c r="J23" s="6">
        <v>5000</v>
      </c>
    </row>
    <row r="24" spans="1:10" x14ac:dyDescent="0.3">
      <c r="E24" t="s">
        <v>35</v>
      </c>
      <c r="F24" s="18">
        <f t="shared" si="0"/>
        <v>0.08</v>
      </c>
      <c r="G24" t="s">
        <v>36</v>
      </c>
      <c r="J24" s="17">
        <v>0.08</v>
      </c>
    </row>
    <row r="25" spans="1:10" x14ac:dyDescent="0.3">
      <c r="E25" t="s">
        <v>34</v>
      </c>
      <c r="F25" s="18">
        <f t="shared" si="0"/>
        <v>0.22</v>
      </c>
      <c r="G25" t="s">
        <v>36</v>
      </c>
      <c r="J25" s="17">
        <v>0.22</v>
      </c>
    </row>
    <row r="26" spans="1:10" x14ac:dyDescent="0.3">
      <c r="E26" t="s">
        <v>38</v>
      </c>
      <c r="F26" s="18">
        <f t="shared" si="0"/>
        <v>0.03</v>
      </c>
      <c r="G26" t="s">
        <v>39</v>
      </c>
      <c r="J26" s="17">
        <v>0.03</v>
      </c>
    </row>
    <row r="27" spans="1:10" x14ac:dyDescent="0.3">
      <c r="E27" t="s">
        <v>45</v>
      </c>
      <c r="F27" s="18">
        <f t="shared" si="0"/>
        <v>0.1</v>
      </c>
      <c r="G27" t="s">
        <v>36</v>
      </c>
      <c r="J27" s="17">
        <v>0.1</v>
      </c>
    </row>
    <row r="28" spans="1:10" x14ac:dyDescent="0.3">
      <c r="E28" t="s">
        <v>68</v>
      </c>
      <c r="F28" s="18">
        <f t="shared" si="0"/>
        <v>0.25</v>
      </c>
      <c r="G28" t="s">
        <v>36</v>
      </c>
      <c r="J28" s="17">
        <v>0.25</v>
      </c>
    </row>
    <row r="29" spans="1:10" x14ac:dyDescent="0.3">
      <c r="E29" t="s">
        <v>71</v>
      </c>
      <c r="F29" s="18">
        <f t="shared" si="0"/>
        <v>0.08</v>
      </c>
      <c r="G29" t="s">
        <v>39</v>
      </c>
      <c r="J29" s="17">
        <v>0.08</v>
      </c>
    </row>
    <row r="30" spans="1:10" x14ac:dyDescent="0.3">
      <c r="E30" t="s">
        <v>88</v>
      </c>
      <c r="F30">
        <f>J30</f>
        <v>100</v>
      </c>
      <c r="G30" t="s">
        <v>89</v>
      </c>
      <c r="J30" s="6">
        <v>100</v>
      </c>
    </row>
    <row r="32" spans="1:10" x14ac:dyDescent="0.3">
      <c r="C32" s="5" t="s">
        <v>60</v>
      </c>
    </row>
    <row r="33" spans="2:10" x14ac:dyDescent="0.3">
      <c r="E33" t="s">
        <v>47</v>
      </c>
      <c r="F33">
        <f>J33</f>
        <v>2500</v>
      </c>
      <c r="G33" t="s">
        <v>33</v>
      </c>
      <c r="J33" s="6">
        <v>2500</v>
      </c>
    </row>
    <row r="34" spans="2:10" x14ac:dyDescent="0.3">
      <c r="E34" t="s">
        <v>48</v>
      </c>
      <c r="F34">
        <f t="shared" ref="F34:F36" si="1">J34</f>
        <v>1300</v>
      </c>
      <c r="G34" t="s">
        <v>33</v>
      </c>
      <c r="J34" s="6">
        <v>1300</v>
      </c>
    </row>
    <row r="35" spans="2:10" x14ac:dyDescent="0.3">
      <c r="E35" t="s">
        <v>49</v>
      </c>
      <c r="F35">
        <f t="shared" si="1"/>
        <v>400</v>
      </c>
      <c r="G35" t="s">
        <v>33</v>
      </c>
      <c r="J35" s="6">
        <v>400</v>
      </c>
    </row>
    <row r="36" spans="2:10" x14ac:dyDescent="0.3">
      <c r="E36" t="s">
        <v>50</v>
      </c>
      <c r="F36">
        <f t="shared" si="1"/>
        <v>4200</v>
      </c>
      <c r="G36" t="s">
        <v>33</v>
      </c>
      <c r="J36">
        <f>SUM(J33:J35)</f>
        <v>4200</v>
      </c>
    </row>
    <row r="38" spans="2:10" x14ac:dyDescent="0.3">
      <c r="E38" t="s">
        <v>53</v>
      </c>
      <c r="F38">
        <f>J38</f>
        <v>2200</v>
      </c>
      <c r="G38" t="s">
        <v>33</v>
      </c>
      <c r="J38" s="6">
        <v>2200</v>
      </c>
    </row>
    <row r="39" spans="2:10" x14ac:dyDescent="0.3">
      <c r="E39" t="s">
        <v>54</v>
      </c>
      <c r="F39">
        <f t="shared" ref="F39:F41" si="2">J39</f>
        <v>1000</v>
      </c>
      <c r="G39" t="s">
        <v>33</v>
      </c>
      <c r="J39" s="6">
        <v>1000</v>
      </c>
    </row>
    <row r="40" spans="2:10" x14ac:dyDescent="0.3">
      <c r="E40" t="s">
        <v>55</v>
      </c>
      <c r="F40">
        <f t="shared" si="2"/>
        <v>1000</v>
      </c>
      <c r="G40" t="s">
        <v>33</v>
      </c>
      <c r="J40" s="6">
        <v>1000</v>
      </c>
    </row>
    <row r="41" spans="2:10" x14ac:dyDescent="0.3">
      <c r="E41" t="s">
        <v>56</v>
      </c>
      <c r="F41">
        <f t="shared" si="2"/>
        <v>4200</v>
      </c>
      <c r="G41" t="s">
        <v>33</v>
      </c>
      <c r="J41">
        <f>SUM(J38:J40)</f>
        <v>4200</v>
      </c>
    </row>
    <row r="43" spans="2:10" x14ac:dyDescent="0.3">
      <c r="B43" s="3" t="s">
        <v>41</v>
      </c>
    </row>
    <row r="44" spans="2:10" x14ac:dyDescent="0.3">
      <c r="E44" t="s">
        <v>30</v>
      </c>
      <c r="F44">
        <f>J44</f>
        <v>1200</v>
      </c>
      <c r="G44" t="s">
        <v>33</v>
      </c>
      <c r="J44" s="6">
        <v>1200</v>
      </c>
    </row>
    <row r="45" spans="2:10" x14ac:dyDescent="0.3">
      <c r="E45" t="s">
        <v>35</v>
      </c>
      <c r="F45" s="18">
        <f>J45</f>
        <v>0.1</v>
      </c>
      <c r="G45" t="s">
        <v>36</v>
      </c>
      <c r="J45" s="17">
        <v>0.1</v>
      </c>
    </row>
    <row r="46" spans="2:10" x14ac:dyDescent="0.3">
      <c r="E46" t="s">
        <v>38</v>
      </c>
      <c r="F46" s="18">
        <f>J46</f>
        <v>0.05</v>
      </c>
      <c r="G46" t="s">
        <v>39</v>
      </c>
      <c r="J46" s="17">
        <v>0.05</v>
      </c>
    </row>
    <row r="47" spans="2:10" x14ac:dyDescent="0.3">
      <c r="E47" t="s">
        <v>45</v>
      </c>
      <c r="F47" s="18">
        <f t="shared" ref="F47:F49" si="3">J47</f>
        <v>0.11</v>
      </c>
      <c r="G47" t="s">
        <v>36</v>
      </c>
      <c r="J47" s="17">
        <v>0.11</v>
      </c>
    </row>
    <row r="48" spans="2:10" x14ac:dyDescent="0.3">
      <c r="E48" t="s">
        <v>68</v>
      </c>
      <c r="F48" s="18">
        <f t="shared" si="3"/>
        <v>0.25</v>
      </c>
      <c r="G48" t="s">
        <v>36</v>
      </c>
      <c r="J48" s="17">
        <v>0.25</v>
      </c>
    </row>
    <row r="49" spans="1:10" x14ac:dyDescent="0.3">
      <c r="E49" t="s">
        <v>71</v>
      </c>
      <c r="F49" s="18">
        <f t="shared" si="3"/>
        <v>0.1</v>
      </c>
      <c r="G49" t="s">
        <v>39</v>
      </c>
      <c r="J49" s="17">
        <v>0.1</v>
      </c>
    </row>
    <row r="50" spans="1:10" x14ac:dyDescent="0.3">
      <c r="E50" t="s">
        <v>96</v>
      </c>
      <c r="F50" s="18">
        <f t="shared" ref="F50:F51" si="4">J50</f>
        <v>0.12</v>
      </c>
      <c r="G50" t="s">
        <v>36</v>
      </c>
      <c r="J50" s="17">
        <v>0.12</v>
      </c>
    </row>
    <row r="51" spans="1:10" x14ac:dyDescent="0.3">
      <c r="E51" t="s">
        <v>97</v>
      </c>
      <c r="F51" s="18">
        <f t="shared" si="4"/>
        <v>0.04</v>
      </c>
      <c r="G51" t="s">
        <v>36</v>
      </c>
      <c r="J51" s="17">
        <v>0.04</v>
      </c>
    </row>
    <row r="53" spans="1:10" x14ac:dyDescent="0.3">
      <c r="C53" s="5" t="s">
        <v>60</v>
      </c>
    </row>
    <row r="54" spans="1:10" x14ac:dyDescent="0.3">
      <c r="E54" t="s">
        <v>47</v>
      </c>
      <c r="F54">
        <f>J54</f>
        <v>950</v>
      </c>
      <c r="G54" t="s">
        <v>33</v>
      </c>
      <c r="J54" s="6">
        <v>950</v>
      </c>
    </row>
    <row r="55" spans="1:10" x14ac:dyDescent="0.3">
      <c r="E55" t="s">
        <v>48</v>
      </c>
      <c r="F55">
        <f t="shared" ref="F55:F57" si="5">J55</f>
        <v>480</v>
      </c>
      <c r="G55" t="s">
        <v>33</v>
      </c>
      <c r="J55" s="6">
        <v>480</v>
      </c>
    </row>
    <row r="56" spans="1:10" x14ac:dyDescent="0.3">
      <c r="E56" t="s">
        <v>49</v>
      </c>
      <c r="F56">
        <f t="shared" si="5"/>
        <v>120</v>
      </c>
      <c r="G56" t="s">
        <v>33</v>
      </c>
      <c r="J56" s="6">
        <v>120</v>
      </c>
    </row>
    <row r="57" spans="1:10" x14ac:dyDescent="0.3">
      <c r="E57" t="s">
        <v>50</v>
      </c>
      <c r="F57">
        <f t="shared" si="5"/>
        <v>1550</v>
      </c>
      <c r="G57" t="s">
        <v>33</v>
      </c>
      <c r="J57">
        <f>SUM(J54:J56)</f>
        <v>1550</v>
      </c>
    </row>
    <row r="59" spans="1:10" x14ac:dyDescent="0.3">
      <c r="E59" t="s">
        <v>53</v>
      </c>
      <c r="F59">
        <f>J59</f>
        <v>700</v>
      </c>
      <c r="G59" t="s">
        <v>33</v>
      </c>
      <c r="J59" s="6">
        <v>700</v>
      </c>
    </row>
    <row r="60" spans="1:10" x14ac:dyDescent="0.3">
      <c r="E60" t="s">
        <v>54</v>
      </c>
      <c r="F60">
        <f t="shared" ref="F60:F62" si="6">J60</f>
        <v>400</v>
      </c>
      <c r="G60" t="s">
        <v>33</v>
      </c>
      <c r="J60" s="6">
        <v>400</v>
      </c>
    </row>
    <row r="61" spans="1:10" x14ac:dyDescent="0.3">
      <c r="E61" t="s">
        <v>55</v>
      </c>
      <c r="F61">
        <f t="shared" si="6"/>
        <v>450</v>
      </c>
      <c r="G61" t="s">
        <v>33</v>
      </c>
      <c r="J61" s="6">
        <v>450</v>
      </c>
    </row>
    <row r="62" spans="1:10" x14ac:dyDescent="0.3">
      <c r="E62" t="s">
        <v>56</v>
      </c>
      <c r="F62">
        <f t="shared" si="6"/>
        <v>1550</v>
      </c>
      <c r="G62" t="s">
        <v>33</v>
      </c>
      <c r="J62">
        <f>SUM(J59:J61)</f>
        <v>1550</v>
      </c>
    </row>
    <row r="64" spans="1:10" s="1" customFormat="1" x14ac:dyDescent="0.3">
      <c r="A64" s="2" t="s">
        <v>112</v>
      </c>
      <c r="B64" s="2"/>
      <c r="C64" s="4"/>
    </row>
    <row r="66" spans="1:10" x14ac:dyDescent="0.3">
      <c r="E66" t="s">
        <v>113</v>
      </c>
      <c r="F66" s="9">
        <f>J66</f>
        <v>46023</v>
      </c>
      <c r="G66" t="s">
        <v>6</v>
      </c>
      <c r="J66" s="14">
        <v>46023</v>
      </c>
    </row>
    <row r="67" spans="1:10" x14ac:dyDescent="0.3">
      <c r="E67" t="s">
        <v>114</v>
      </c>
      <c r="F67" s="18">
        <f t="shared" ref="F67" si="7">J67</f>
        <v>0.25</v>
      </c>
      <c r="G67" t="s">
        <v>36</v>
      </c>
      <c r="J67" s="17">
        <v>0.25</v>
      </c>
    </row>
    <row r="68" spans="1:10" x14ac:dyDescent="0.3">
      <c r="E68" t="s">
        <v>117</v>
      </c>
      <c r="F68" s="18">
        <f t="shared" ref="F68" si="8">J68</f>
        <v>1</v>
      </c>
      <c r="G68" t="s">
        <v>36</v>
      </c>
      <c r="J68" s="17">
        <v>1</v>
      </c>
    </row>
    <row r="70" spans="1:10" x14ac:dyDescent="0.3">
      <c r="D70" t="s">
        <v>118</v>
      </c>
    </row>
    <row r="71" spans="1:10" x14ac:dyDescent="0.3">
      <c r="E71" t="s">
        <v>49</v>
      </c>
      <c r="F71" s="18">
        <f t="shared" ref="F71:F72" si="9">J71</f>
        <v>0.8</v>
      </c>
      <c r="G71" t="s">
        <v>36</v>
      </c>
      <c r="J71" s="17">
        <v>0.8</v>
      </c>
    </row>
    <row r="72" spans="1:10" x14ac:dyDescent="0.3">
      <c r="E72" t="s">
        <v>119</v>
      </c>
      <c r="F72" s="18">
        <f t="shared" si="9"/>
        <v>0.19999999999999996</v>
      </c>
      <c r="G72" t="s">
        <v>36</v>
      </c>
      <c r="J72" s="17">
        <f>1-J71</f>
        <v>0.19999999999999996</v>
      </c>
    </row>
    <row r="74" spans="1:10" x14ac:dyDescent="0.3">
      <c r="E74" t="s">
        <v>124</v>
      </c>
      <c r="F74" s="18">
        <f t="shared" ref="F74" si="10">J74</f>
        <v>1</v>
      </c>
      <c r="G74" t="s">
        <v>36</v>
      </c>
      <c r="J74" s="17">
        <v>1</v>
      </c>
    </row>
    <row r="76" spans="1:10" x14ac:dyDescent="0.3">
      <c r="E76" t="s">
        <v>126</v>
      </c>
      <c r="F76">
        <f>J76</f>
        <v>65</v>
      </c>
      <c r="G76" t="s">
        <v>91</v>
      </c>
      <c r="J76" s="6">
        <v>65</v>
      </c>
    </row>
    <row r="78" spans="1:10" x14ac:dyDescent="0.3">
      <c r="E78" t="s">
        <v>128</v>
      </c>
      <c r="F78" s="18">
        <f t="shared" ref="F78" si="11">J78</f>
        <v>0.01</v>
      </c>
      <c r="G78" t="s">
        <v>129</v>
      </c>
      <c r="J78" s="17">
        <v>0.01</v>
      </c>
    </row>
    <row r="80" spans="1:10" s="1" customFormat="1" x14ac:dyDescent="0.3">
      <c r="A80" s="2" t="s">
        <v>142</v>
      </c>
      <c r="B80" s="2"/>
      <c r="C80" s="4"/>
    </row>
    <row r="82" spans="2:10" x14ac:dyDescent="0.3">
      <c r="B82" s="3" t="s">
        <v>143</v>
      </c>
    </row>
    <row r="83" spans="2:10" x14ac:dyDescent="0.3">
      <c r="E83" t="s">
        <v>144</v>
      </c>
      <c r="F83">
        <f>J83</f>
        <v>80</v>
      </c>
      <c r="G83" t="s">
        <v>33</v>
      </c>
      <c r="J83" s="6">
        <v>80</v>
      </c>
    </row>
    <row r="84" spans="2:10" x14ac:dyDescent="0.3">
      <c r="E84" t="s">
        <v>145</v>
      </c>
      <c r="F84">
        <f>J84</f>
        <v>2</v>
      </c>
      <c r="G84" t="s">
        <v>14</v>
      </c>
      <c r="J84" s="6">
        <v>2</v>
      </c>
    </row>
    <row r="85" spans="2:10" x14ac:dyDescent="0.3">
      <c r="E85" t="s">
        <v>146</v>
      </c>
      <c r="F85">
        <f>J85</f>
        <v>100</v>
      </c>
      <c r="G85" t="s">
        <v>33</v>
      </c>
      <c r="J85" s="6">
        <v>100</v>
      </c>
    </row>
    <row r="87" spans="2:10" x14ac:dyDescent="0.3">
      <c r="B87" s="3" t="s">
        <v>149</v>
      </c>
    </row>
    <row r="88" spans="2:10" x14ac:dyDescent="0.3">
      <c r="E88" t="s">
        <v>45</v>
      </c>
      <c r="F88" s="18">
        <f t="shared" ref="F88" si="12">J88</f>
        <v>0.11</v>
      </c>
      <c r="G88" t="s">
        <v>36</v>
      </c>
      <c r="J88" s="17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5C2A-A3EF-45AD-9744-61F4C35D1DB2}">
  <sheetPr>
    <tabColor rgb="FFFFFF00"/>
  </sheetPr>
  <dimension ref="F6:H6"/>
  <sheetViews>
    <sheetView showGridLines="0" zoomScale="130" zoomScaleNormal="130" workbookViewId="0">
      <pane xSplit="9" ySplit="6" topLeftCell="J7" activePane="bottomRight" state="frozen"/>
      <selection activeCell="O61" sqref="O61"/>
      <selection pane="topRight" activeCell="O61" sqref="O61"/>
      <selection pane="bottomLeft" activeCell="O61" sqref="O61"/>
      <selection pane="bottomRight" activeCell="O61" sqref="O61"/>
    </sheetView>
  </sheetViews>
  <sheetFormatPr defaultColWidth="0" defaultRowHeight="12.5" x14ac:dyDescent="0.25"/>
  <cols>
    <col min="1" max="4" width="1.81640625" customWidth="1"/>
    <col min="5" max="5" width="40.81640625" customWidth="1"/>
    <col min="6" max="8" width="10.08984375" bestFit="1" customWidth="1"/>
    <col min="9" max="9" width="1.81640625" customWidth="1"/>
    <col min="10" max="15" width="10.08984375" bestFit="1" customWidth="1"/>
  </cols>
  <sheetData>
    <row r="6" spans="6:8" x14ac:dyDescent="0.25">
      <c r="F6" t="s">
        <v>3</v>
      </c>
      <c r="G6" t="s">
        <v>4</v>
      </c>
      <c r="H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30E2-046C-47B0-AFCA-B4EBC1D7F1C9}">
  <sheetPr>
    <tabColor rgb="FF92D050"/>
  </sheetPr>
  <dimension ref="A1:O144"/>
  <sheetViews>
    <sheetView showGridLines="0" zoomScale="130" zoomScaleNormal="130" workbookViewId="0">
      <pane xSplit="9" ySplit="6" topLeftCell="J100" activePane="bottomRight" state="frozen"/>
      <selection activeCell="O61" sqref="O61"/>
      <selection pane="topRight" activeCell="O61" sqref="O61"/>
      <selection pane="bottomLeft" activeCell="O61" sqref="O61"/>
      <selection pane="bottomRight" activeCell="K131" sqref="K131"/>
    </sheetView>
  </sheetViews>
  <sheetFormatPr defaultColWidth="0" defaultRowHeight="13" x14ac:dyDescent="0.3"/>
  <cols>
    <col min="1" max="2" width="1.81640625" style="3" customWidth="1"/>
    <col min="3" max="3" width="1.81640625" style="5" customWidth="1"/>
    <col min="4" max="4" width="1.81640625" customWidth="1"/>
    <col min="5" max="5" width="40.81640625" customWidth="1"/>
    <col min="6" max="8" width="10.08984375" bestFit="1" customWidth="1"/>
    <col min="9" max="9" width="1.81640625" customWidth="1"/>
    <col min="10" max="15" width="10.08984375" bestFit="1" customWidth="1"/>
    <col min="16" max="16384" width="8.90625" hidden="1"/>
  </cols>
  <sheetData>
    <row r="1" spans="1:15" x14ac:dyDescent="0.3">
      <c r="E1" s="11" t="str">
        <f t="shared" ref="E1:O1" si="0" xml:space="preserve"> E$13</f>
        <v>Period Start</v>
      </c>
      <c r="F1" s="11">
        <f t="shared" si="0"/>
        <v>0</v>
      </c>
      <c r="G1" s="11" t="str">
        <f t="shared" si="0"/>
        <v>Date</v>
      </c>
      <c r="H1" s="11">
        <f t="shared" si="0"/>
        <v>0</v>
      </c>
      <c r="I1" s="11">
        <f t="shared" si="0"/>
        <v>0</v>
      </c>
      <c r="J1" s="12">
        <f t="shared" si="0"/>
        <v>45658</v>
      </c>
      <c r="K1" s="12">
        <f t="shared" si="0"/>
        <v>46023</v>
      </c>
      <c r="L1" s="12">
        <f t="shared" si="0"/>
        <v>46388</v>
      </c>
      <c r="M1" s="12">
        <f t="shared" si="0"/>
        <v>46753</v>
      </c>
      <c r="N1" s="12">
        <f t="shared" si="0"/>
        <v>47119</v>
      </c>
      <c r="O1" s="12">
        <f t="shared" si="0"/>
        <v>47484</v>
      </c>
    </row>
    <row r="2" spans="1:15" x14ac:dyDescent="0.3">
      <c r="E2" s="11" t="str">
        <f t="shared" ref="E2:O2" si="1" xml:space="preserve"> E$14</f>
        <v>Period End</v>
      </c>
      <c r="F2" s="11">
        <f t="shared" si="1"/>
        <v>0</v>
      </c>
      <c r="G2" s="11" t="str">
        <f t="shared" si="1"/>
        <v>Date</v>
      </c>
      <c r="H2" s="11">
        <f t="shared" si="1"/>
        <v>0</v>
      </c>
      <c r="I2" s="11">
        <f t="shared" si="1"/>
        <v>0</v>
      </c>
      <c r="J2" s="12">
        <f t="shared" si="1"/>
        <v>46022</v>
      </c>
      <c r="K2" s="12">
        <f t="shared" si="1"/>
        <v>46387</v>
      </c>
      <c r="L2" s="12">
        <f t="shared" si="1"/>
        <v>46752</v>
      </c>
      <c r="M2" s="12">
        <f t="shared" si="1"/>
        <v>47118</v>
      </c>
      <c r="N2" s="12">
        <f t="shared" si="1"/>
        <v>47483</v>
      </c>
      <c r="O2" s="12">
        <f t="shared" si="1"/>
        <v>47848</v>
      </c>
    </row>
    <row r="3" spans="1:15" x14ac:dyDescent="0.3">
      <c r="E3" s="11" t="str">
        <f t="shared" ref="E3:O3" si="2" xml:space="preserve"> E$15</f>
        <v>Number of Days</v>
      </c>
      <c r="F3" s="11">
        <f t="shared" si="2"/>
        <v>0</v>
      </c>
      <c r="G3" s="11" t="str">
        <f t="shared" si="2"/>
        <v>Days</v>
      </c>
      <c r="H3" s="11">
        <f t="shared" si="2"/>
        <v>0</v>
      </c>
      <c r="I3" s="11">
        <f t="shared" si="2"/>
        <v>0</v>
      </c>
      <c r="J3" s="11">
        <f t="shared" si="2"/>
        <v>365</v>
      </c>
      <c r="K3" s="11">
        <f t="shared" si="2"/>
        <v>365</v>
      </c>
      <c r="L3" s="11">
        <f t="shared" si="2"/>
        <v>365</v>
      </c>
      <c r="M3" s="11">
        <f t="shared" si="2"/>
        <v>366</v>
      </c>
      <c r="N3" s="11">
        <f t="shared" si="2"/>
        <v>365</v>
      </c>
      <c r="O3" s="11">
        <f t="shared" si="2"/>
        <v>365</v>
      </c>
    </row>
    <row r="4" spans="1:15" x14ac:dyDescent="0.3">
      <c r="E4" s="11" t="str">
        <f t="shared" ref="E4:O4" si="3" xml:space="preserve"> E$16</f>
        <v>Financial Year</v>
      </c>
      <c r="F4" s="11">
        <f t="shared" si="3"/>
        <v>0</v>
      </c>
      <c r="G4" s="11" t="str">
        <f t="shared" si="3"/>
        <v>Year</v>
      </c>
      <c r="H4" s="11">
        <f t="shared" si="3"/>
        <v>0</v>
      </c>
      <c r="I4" s="11">
        <f t="shared" si="3"/>
        <v>0</v>
      </c>
      <c r="J4" s="13">
        <f t="shared" si="3"/>
        <v>2025</v>
      </c>
      <c r="K4" s="13">
        <f t="shared" si="3"/>
        <v>2026</v>
      </c>
      <c r="L4" s="13">
        <f t="shared" si="3"/>
        <v>2027</v>
      </c>
      <c r="M4" s="13">
        <f t="shared" si="3"/>
        <v>2028</v>
      </c>
      <c r="N4" s="13">
        <f t="shared" si="3"/>
        <v>2029</v>
      </c>
      <c r="O4" s="13">
        <f t="shared" si="3"/>
        <v>2030</v>
      </c>
    </row>
    <row r="6" spans="1:15" x14ac:dyDescent="0.3">
      <c r="F6" t="s">
        <v>3</v>
      </c>
      <c r="G6" t="s">
        <v>4</v>
      </c>
      <c r="H6" t="s">
        <v>5</v>
      </c>
    </row>
    <row r="7" spans="1:15" s="1" customFormat="1" x14ac:dyDescent="0.3">
      <c r="A7" s="2" t="s">
        <v>0</v>
      </c>
      <c r="B7" s="2"/>
      <c r="C7" s="4"/>
    </row>
    <row r="9" spans="1:15" x14ac:dyDescent="0.3">
      <c r="E9" t="s">
        <v>7</v>
      </c>
      <c r="G9" t="s">
        <v>8</v>
      </c>
      <c r="J9">
        <f>I9+ 1</f>
        <v>1</v>
      </c>
      <c r="K9">
        <f t="shared" ref="K9:O9" si="4">J9+ 1</f>
        <v>2</v>
      </c>
      <c r="L9">
        <f t="shared" si="4"/>
        <v>3</v>
      </c>
      <c r="M9">
        <f t="shared" si="4"/>
        <v>4</v>
      </c>
      <c r="N9">
        <f t="shared" si="4"/>
        <v>5</v>
      </c>
      <c r="O9">
        <f t="shared" si="4"/>
        <v>6</v>
      </c>
    </row>
    <row r="11" spans="1:15" x14ac:dyDescent="0.3">
      <c r="E11" s="7" t="str">
        <f xml:space="preserve"> InpC!E$10</f>
        <v>Model Start Date</v>
      </c>
      <c r="F11" s="8">
        <f xml:space="preserve"> InpC!F$10</f>
        <v>45658</v>
      </c>
      <c r="G11" s="7" t="str">
        <f xml:space="preserve"> InpC!G$10</f>
        <v>Date</v>
      </c>
    </row>
    <row r="13" spans="1:15" x14ac:dyDescent="0.3">
      <c r="E13" t="s">
        <v>9</v>
      </c>
      <c r="G13" t="s">
        <v>6</v>
      </c>
      <c r="J13" s="9">
        <f xml:space="preserve"> IF(J9 = 1, $F11, I14 + 1)</f>
        <v>45658</v>
      </c>
      <c r="K13" s="9">
        <f t="shared" ref="K13:O13" si="5" xml:space="preserve"> IF(K9 = 1, $F11, J14 + 1)</f>
        <v>46023</v>
      </c>
      <c r="L13" s="9">
        <f t="shared" si="5"/>
        <v>46388</v>
      </c>
      <c r="M13" s="9">
        <f t="shared" si="5"/>
        <v>46753</v>
      </c>
      <c r="N13" s="9">
        <f t="shared" si="5"/>
        <v>47119</v>
      </c>
      <c r="O13" s="9">
        <f t="shared" si="5"/>
        <v>47484</v>
      </c>
    </row>
    <row r="14" spans="1:15" x14ac:dyDescent="0.3">
      <c r="E14" t="s">
        <v>10</v>
      </c>
      <c r="G14" t="s">
        <v>6</v>
      </c>
      <c r="J14" s="9">
        <f xml:space="preserve"> EOMONTH(J13, 11)</f>
        <v>46022</v>
      </c>
      <c r="K14" s="9">
        <f t="shared" ref="K14:O14" si="6" xml:space="preserve"> EOMONTH(K13, 11)</f>
        <v>46387</v>
      </c>
      <c r="L14" s="9">
        <f t="shared" si="6"/>
        <v>46752</v>
      </c>
      <c r="M14" s="9">
        <f t="shared" si="6"/>
        <v>47118</v>
      </c>
      <c r="N14" s="9">
        <f t="shared" si="6"/>
        <v>47483</v>
      </c>
      <c r="O14" s="9">
        <f t="shared" si="6"/>
        <v>47848</v>
      </c>
    </row>
    <row r="15" spans="1:15" x14ac:dyDescent="0.3">
      <c r="E15" t="s">
        <v>11</v>
      </c>
      <c r="G15" t="s">
        <v>13</v>
      </c>
      <c r="J15">
        <f xml:space="preserve"> _xlfn.DAYS(J14, J13 ) + 1</f>
        <v>365</v>
      </c>
      <c r="K15">
        <f t="shared" ref="K15:O15" si="7" xml:space="preserve"> _xlfn.DAYS(K14, K13 ) + 1</f>
        <v>365</v>
      </c>
      <c r="L15">
        <f t="shared" si="7"/>
        <v>365</v>
      </c>
      <c r="M15">
        <f t="shared" si="7"/>
        <v>366</v>
      </c>
      <c r="N15">
        <f t="shared" si="7"/>
        <v>365</v>
      </c>
      <c r="O15">
        <f t="shared" si="7"/>
        <v>365</v>
      </c>
    </row>
    <row r="16" spans="1:15" x14ac:dyDescent="0.3">
      <c r="E16" t="s">
        <v>12</v>
      </c>
      <c r="G16" t="s">
        <v>14</v>
      </c>
      <c r="J16" s="10">
        <f xml:space="preserve"> YEAR(J14)</f>
        <v>2025</v>
      </c>
      <c r="K16" s="10">
        <f t="shared" ref="K16:O16" si="8" xml:space="preserve"> YEAR(K14)</f>
        <v>2026</v>
      </c>
      <c r="L16" s="10">
        <f t="shared" si="8"/>
        <v>2027</v>
      </c>
      <c r="M16" s="10">
        <f t="shared" si="8"/>
        <v>2028</v>
      </c>
      <c r="N16" s="10">
        <f t="shared" si="8"/>
        <v>2029</v>
      </c>
      <c r="O16" s="10">
        <f t="shared" si="8"/>
        <v>2030</v>
      </c>
    </row>
    <row r="18" spans="1:15" x14ac:dyDescent="0.3">
      <c r="B18" s="3" t="s">
        <v>15</v>
      </c>
    </row>
    <row r="19" spans="1:15" x14ac:dyDescent="0.3">
      <c r="E19" s="15" t="str">
        <f xml:space="preserve"> InpC!E$13</f>
        <v>Actual Start Date</v>
      </c>
      <c r="F19" s="16">
        <f xml:space="preserve"> InpC!F$13</f>
        <v>45658</v>
      </c>
      <c r="G19" s="15" t="str">
        <f xml:space="preserve"> InpC!G$13</f>
        <v>Date</v>
      </c>
    </row>
    <row r="20" spans="1:15" x14ac:dyDescent="0.3">
      <c r="E20" s="15" t="str">
        <f xml:space="preserve"> InpC!E$14</f>
        <v>Actual End Date</v>
      </c>
      <c r="F20" s="16">
        <f xml:space="preserve"> InpC!F$14</f>
        <v>46022</v>
      </c>
      <c r="G20" s="15" t="str">
        <f xml:space="preserve"> InpC!G$14</f>
        <v>Date</v>
      </c>
    </row>
    <row r="21" spans="1:15" x14ac:dyDescent="0.3">
      <c r="E21" t="s">
        <v>18</v>
      </c>
      <c r="G21" t="s">
        <v>19</v>
      </c>
      <c r="H21">
        <f xml:space="preserve"> SUM(J21:O21)</f>
        <v>1</v>
      </c>
      <c r="J21">
        <f>IF(AND($F19&gt;=J$13, $F19&lt;=J$14), 1, 0)</f>
        <v>1</v>
      </c>
      <c r="K21">
        <f t="shared" ref="K21:O22" si="9">IF(AND($F19&gt;=K$13, $F19&lt;=K$14), 1, 0)</f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</row>
    <row r="22" spans="1:15" x14ac:dyDescent="0.3">
      <c r="E22" t="s">
        <v>20</v>
      </c>
      <c r="G22" t="s">
        <v>19</v>
      </c>
      <c r="H22">
        <f t="shared" ref="H22:H23" si="10" xml:space="preserve"> SUM(J22:O22)</f>
        <v>1</v>
      </c>
      <c r="J22">
        <f>IF(AND($F20&gt;=J$13, $F20&lt;=J$14), 1, 0)</f>
        <v>1</v>
      </c>
      <c r="K22">
        <f t="shared" si="9"/>
        <v>0</v>
      </c>
      <c r="L22">
        <f t="shared" si="9"/>
        <v>0</v>
      </c>
      <c r="M22">
        <f t="shared" si="9"/>
        <v>0</v>
      </c>
      <c r="N22">
        <f t="shared" si="9"/>
        <v>0</v>
      </c>
      <c r="O22">
        <f t="shared" si="9"/>
        <v>0</v>
      </c>
    </row>
    <row r="23" spans="1:15" x14ac:dyDescent="0.3">
      <c r="E23" t="s">
        <v>21</v>
      </c>
      <c r="G23" t="s">
        <v>19</v>
      </c>
      <c r="H23">
        <f t="shared" si="10"/>
        <v>1</v>
      </c>
      <c r="J23">
        <f>J21 +I23 - I22</f>
        <v>1</v>
      </c>
      <c r="K23">
        <f t="shared" ref="K23:O23" si="11">K21 +J23 - J22</f>
        <v>0</v>
      </c>
      <c r="L23">
        <f t="shared" si="11"/>
        <v>0</v>
      </c>
      <c r="M23">
        <f t="shared" si="11"/>
        <v>0</v>
      </c>
      <c r="N23">
        <f t="shared" si="11"/>
        <v>0</v>
      </c>
      <c r="O23">
        <f t="shared" si="11"/>
        <v>0</v>
      </c>
    </row>
    <row r="25" spans="1:15" x14ac:dyDescent="0.3">
      <c r="B25" s="3" t="s">
        <v>22</v>
      </c>
    </row>
    <row r="26" spans="1:15" x14ac:dyDescent="0.3">
      <c r="E26" s="15" t="str">
        <f xml:space="preserve"> InpC!E$17</f>
        <v>Projection Start Date</v>
      </c>
      <c r="F26" s="16">
        <f xml:space="preserve"> InpC!F$17</f>
        <v>46023</v>
      </c>
      <c r="G26" s="15" t="str">
        <f xml:space="preserve"> InpC!G$17</f>
        <v>Date</v>
      </c>
    </row>
    <row r="27" spans="1:15" x14ac:dyDescent="0.3">
      <c r="E27" s="15" t="str">
        <f xml:space="preserve"> InpC!E$18</f>
        <v>Projection End Date</v>
      </c>
      <c r="F27" s="16">
        <f xml:space="preserve"> InpC!F$18</f>
        <v>47848</v>
      </c>
      <c r="G27" s="15" t="str">
        <f xml:space="preserve"> InpC!G$18</f>
        <v>Date</v>
      </c>
    </row>
    <row r="28" spans="1:15" x14ac:dyDescent="0.3">
      <c r="E28" t="s">
        <v>25</v>
      </c>
      <c r="G28" t="s">
        <v>19</v>
      </c>
      <c r="H28">
        <f xml:space="preserve"> SUM(J28:O28)</f>
        <v>1</v>
      </c>
      <c r="J28">
        <f>IF(AND($F26&gt;=J$13, $F26&lt;=J$14), 1, 0)</f>
        <v>0</v>
      </c>
      <c r="K28">
        <f t="shared" ref="K28:O28" si="12">IF(AND($F26&gt;=K$13, $F26&lt;=K$14), 1, 0)</f>
        <v>1</v>
      </c>
      <c r="L28">
        <f t="shared" si="12"/>
        <v>0</v>
      </c>
      <c r="M28">
        <f t="shared" si="12"/>
        <v>0</v>
      </c>
      <c r="N28">
        <f t="shared" si="12"/>
        <v>0</v>
      </c>
      <c r="O28">
        <f t="shared" si="12"/>
        <v>0</v>
      </c>
    </row>
    <row r="29" spans="1:15" x14ac:dyDescent="0.3">
      <c r="E29" t="s">
        <v>26</v>
      </c>
      <c r="G29" t="s">
        <v>19</v>
      </c>
      <c r="H29">
        <f t="shared" ref="H29:H30" si="13" xml:space="preserve"> SUM(J29:O29)</f>
        <v>1</v>
      </c>
      <c r="J29">
        <f>IF(AND($F27&gt;=J$13, $F27&lt;=J$14), 1, 0)</f>
        <v>0</v>
      </c>
      <c r="K29">
        <f t="shared" ref="K29:O29" si="14">IF(AND($F27&gt;=K$13, $F27&lt;=K$14), 1, 0)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1</v>
      </c>
    </row>
    <row r="30" spans="1:15" x14ac:dyDescent="0.3">
      <c r="E30" t="s">
        <v>27</v>
      </c>
      <c r="G30" t="s">
        <v>19</v>
      </c>
      <c r="H30">
        <f t="shared" si="13"/>
        <v>5</v>
      </c>
      <c r="J30">
        <f>J28 +I30 - I29</f>
        <v>0</v>
      </c>
      <c r="K30">
        <f t="shared" ref="K30:O30" si="15">K28 +J30 - J29</f>
        <v>1</v>
      </c>
      <c r="L30">
        <f t="shared" si="15"/>
        <v>1</v>
      </c>
      <c r="M30">
        <f t="shared" si="15"/>
        <v>1</v>
      </c>
      <c r="N30">
        <f t="shared" si="15"/>
        <v>1</v>
      </c>
      <c r="O30">
        <f t="shared" si="15"/>
        <v>1</v>
      </c>
    </row>
    <row r="32" spans="1:15" s="1" customFormat="1" x14ac:dyDescent="0.3">
      <c r="A32" s="2" t="s">
        <v>28</v>
      </c>
      <c r="B32" s="2"/>
      <c r="C32" s="4"/>
    </row>
    <row r="34" spans="2:15" x14ac:dyDescent="0.3">
      <c r="B34" s="3" t="s">
        <v>29</v>
      </c>
    </row>
    <row r="35" spans="2:15" x14ac:dyDescent="0.3">
      <c r="E35" s="11" t="str">
        <f xml:space="preserve"> E$89</f>
        <v>Revenue</v>
      </c>
      <c r="F35" s="11">
        <f t="shared" ref="F35:O35" si="16" xml:space="preserve"> F$89</f>
        <v>0</v>
      </c>
      <c r="G35" s="11" t="str">
        <f t="shared" si="16"/>
        <v>INR Crs</v>
      </c>
      <c r="H35" s="11">
        <f t="shared" si="16"/>
        <v>0</v>
      </c>
      <c r="I35" s="11">
        <f t="shared" si="16"/>
        <v>0</v>
      </c>
      <c r="J35" s="11">
        <f t="shared" si="16"/>
        <v>5000</v>
      </c>
      <c r="K35" s="11">
        <f t="shared" si="16"/>
        <v>5400</v>
      </c>
      <c r="L35" s="11">
        <f t="shared" si="16"/>
        <v>5832</v>
      </c>
      <c r="M35" s="11">
        <f t="shared" si="16"/>
        <v>6298.56</v>
      </c>
      <c r="N35" s="11">
        <f t="shared" si="16"/>
        <v>6802.4448000000011</v>
      </c>
      <c r="O35" s="11">
        <f t="shared" si="16"/>
        <v>7346.6403840000021</v>
      </c>
    </row>
    <row r="36" spans="2:15" x14ac:dyDescent="0.3">
      <c r="E36" t="s">
        <v>43</v>
      </c>
      <c r="G36" t="s">
        <v>33</v>
      </c>
      <c r="J36">
        <f t="shared" ref="J36:O36" si="17" xml:space="preserve"> J35 - J37</f>
        <v>3900</v>
      </c>
      <c r="K36">
        <f t="shared" si="17"/>
        <v>4212</v>
      </c>
      <c r="L36">
        <f t="shared" si="17"/>
        <v>4548.96</v>
      </c>
      <c r="M36">
        <f t="shared" si="17"/>
        <v>4912.8768</v>
      </c>
      <c r="N36">
        <f t="shared" si="17"/>
        <v>5305.9069440000012</v>
      </c>
      <c r="O36">
        <f t="shared" si="17"/>
        <v>5730.3794995200014</v>
      </c>
    </row>
    <row r="37" spans="2:15" s="21" customFormat="1" x14ac:dyDescent="0.3">
      <c r="C37" s="23"/>
      <c r="E37" s="24" t="str">
        <f xml:space="preserve"> E$95</f>
        <v xml:space="preserve">EBITDA </v>
      </c>
      <c r="F37" s="24">
        <f t="shared" ref="F37:O37" si="18" xml:space="preserve"> F$95</f>
        <v>0</v>
      </c>
      <c r="G37" s="24" t="str">
        <f t="shared" si="18"/>
        <v>INR Crs</v>
      </c>
      <c r="H37" s="24">
        <f t="shared" si="18"/>
        <v>0</v>
      </c>
      <c r="I37" s="24">
        <f t="shared" si="18"/>
        <v>0</v>
      </c>
      <c r="J37" s="24">
        <f t="shared" si="18"/>
        <v>1100</v>
      </c>
      <c r="K37" s="24">
        <f t="shared" si="18"/>
        <v>1188</v>
      </c>
      <c r="L37" s="24">
        <f t="shared" si="18"/>
        <v>1283.04</v>
      </c>
      <c r="M37" s="24">
        <f t="shared" si="18"/>
        <v>1385.6832000000002</v>
      </c>
      <c r="N37" s="24">
        <f t="shared" si="18"/>
        <v>1496.5378560000001</v>
      </c>
      <c r="O37" s="24">
        <f t="shared" si="18"/>
        <v>1616.2608844800004</v>
      </c>
    </row>
    <row r="39" spans="2:15" x14ac:dyDescent="0.3">
      <c r="E39" s="11" t="str">
        <f xml:space="preserve"> E$100</f>
        <v>Depreciation</v>
      </c>
      <c r="F39" s="11">
        <f t="shared" ref="F39:O39" si="19" xml:space="preserve"> F$100</f>
        <v>0</v>
      </c>
      <c r="G39" s="11" t="str">
        <f t="shared" si="19"/>
        <v>INR Crs</v>
      </c>
      <c r="H39" s="11">
        <f t="shared" si="19"/>
        <v>0</v>
      </c>
      <c r="I39" s="11">
        <f t="shared" si="19"/>
        <v>0</v>
      </c>
      <c r="J39" s="11">
        <f t="shared" si="19"/>
        <v>150</v>
      </c>
      <c r="K39" s="11">
        <f t="shared" si="19"/>
        <v>162</v>
      </c>
      <c r="L39" s="11">
        <f t="shared" si="19"/>
        <v>174.95999999999998</v>
      </c>
      <c r="M39" s="11">
        <f t="shared" si="19"/>
        <v>188.95680000000002</v>
      </c>
      <c r="N39" s="11">
        <f t="shared" si="19"/>
        <v>204.07334400000002</v>
      </c>
      <c r="O39" s="11">
        <f t="shared" si="19"/>
        <v>220.39921152000005</v>
      </c>
    </row>
    <row r="40" spans="2:15" s="21" customFormat="1" x14ac:dyDescent="0.3">
      <c r="C40" s="23"/>
      <c r="E40" s="21" t="s">
        <v>44</v>
      </c>
      <c r="G40" s="21" t="s">
        <v>33</v>
      </c>
      <c r="J40" s="21">
        <f>J37 - J39</f>
        <v>950</v>
      </c>
      <c r="K40" s="21">
        <f t="shared" ref="K40:O40" si="20">K37 - K39</f>
        <v>1026</v>
      </c>
      <c r="L40" s="21">
        <f t="shared" si="20"/>
        <v>1108.08</v>
      </c>
      <c r="M40" s="21">
        <f t="shared" si="20"/>
        <v>1196.7264000000002</v>
      </c>
      <c r="N40" s="21">
        <f t="shared" si="20"/>
        <v>1292.464512</v>
      </c>
      <c r="O40" s="21">
        <f t="shared" si="20"/>
        <v>1395.8616729600003</v>
      </c>
    </row>
    <row r="42" spans="2:15" x14ac:dyDescent="0.3">
      <c r="E42" s="11" t="str">
        <f xml:space="preserve"> E$114</f>
        <v>Interest Expense</v>
      </c>
      <c r="F42" s="11">
        <f t="shared" ref="F42:O42" si="21" xml:space="preserve"> F$114</f>
        <v>0</v>
      </c>
      <c r="G42" s="11" t="str">
        <f t="shared" si="21"/>
        <v>INR Crs</v>
      </c>
      <c r="H42" s="11">
        <f t="shared" si="21"/>
        <v>0</v>
      </c>
      <c r="I42" s="11">
        <f t="shared" si="21"/>
        <v>0</v>
      </c>
      <c r="J42" s="11">
        <f t="shared" si="21"/>
        <v>0</v>
      </c>
      <c r="K42" s="11">
        <f t="shared" si="21"/>
        <v>100</v>
      </c>
      <c r="L42" s="11">
        <f t="shared" si="21"/>
        <v>100</v>
      </c>
      <c r="M42" s="11">
        <f t="shared" si="21"/>
        <v>100</v>
      </c>
      <c r="N42" s="11">
        <f t="shared" si="21"/>
        <v>100</v>
      </c>
      <c r="O42" s="11">
        <f t="shared" si="21"/>
        <v>100</v>
      </c>
    </row>
    <row r="43" spans="2:15" s="21" customFormat="1" x14ac:dyDescent="0.3">
      <c r="C43" s="23"/>
      <c r="E43" s="24" t="s">
        <v>66</v>
      </c>
      <c r="F43" s="24"/>
      <c r="G43" s="24" t="s">
        <v>33</v>
      </c>
      <c r="H43" s="24"/>
      <c r="I43" s="24"/>
      <c r="J43" s="24">
        <f>J40 - J42</f>
        <v>950</v>
      </c>
      <c r="K43" s="24">
        <f t="shared" ref="K43:O43" si="22">K40 - K42</f>
        <v>926</v>
      </c>
      <c r="L43" s="24">
        <f t="shared" si="22"/>
        <v>1008.0799999999999</v>
      </c>
      <c r="M43" s="24">
        <f t="shared" si="22"/>
        <v>1096.7264000000002</v>
      </c>
      <c r="N43" s="24">
        <f t="shared" si="22"/>
        <v>1192.464512</v>
      </c>
      <c r="O43" s="24">
        <f t="shared" si="22"/>
        <v>1295.8616729600003</v>
      </c>
    </row>
    <row r="44" spans="2:15" x14ac:dyDescent="0.3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2:15" x14ac:dyDescent="0.3">
      <c r="E45" s="11" t="str">
        <f xml:space="preserve"> E$120</f>
        <v>Tax Expense</v>
      </c>
      <c r="F45" s="11">
        <f t="shared" ref="F45:O45" si="23" xml:space="preserve"> F$120</f>
        <v>0</v>
      </c>
      <c r="G45" s="11" t="str">
        <f t="shared" si="23"/>
        <v>INR Crs</v>
      </c>
      <c r="H45" s="11">
        <f t="shared" si="23"/>
        <v>0</v>
      </c>
      <c r="I45" s="11">
        <f t="shared" si="23"/>
        <v>0</v>
      </c>
      <c r="J45" s="25">
        <v>300</v>
      </c>
      <c r="K45" s="11">
        <f t="shared" si="23"/>
        <v>231.5</v>
      </c>
      <c r="L45" s="11">
        <f t="shared" si="23"/>
        <v>252.01999999999998</v>
      </c>
      <c r="M45" s="11">
        <f t="shared" si="23"/>
        <v>274.18160000000006</v>
      </c>
      <c r="N45" s="11">
        <f t="shared" si="23"/>
        <v>298.116128</v>
      </c>
      <c r="O45" s="11">
        <f t="shared" si="23"/>
        <v>323.96541824000008</v>
      </c>
    </row>
    <row r="46" spans="2:15" s="21" customFormat="1" x14ac:dyDescent="0.3">
      <c r="C46" s="23"/>
      <c r="E46" s="24" t="s">
        <v>70</v>
      </c>
      <c r="F46" s="24"/>
      <c r="G46" s="24" t="s">
        <v>33</v>
      </c>
      <c r="H46" s="24"/>
      <c r="I46" s="24"/>
      <c r="J46" s="24">
        <f>J43 - J45</f>
        <v>650</v>
      </c>
      <c r="K46" s="24">
        <f t="shared" ref="K46" si="24">K43 - K45</f>
        <v>694.5</v>
      </c>
      <c r="L46" s="24">
        <f t="shared" ref="L46" si="25">L43 - L45</f>
        <v>756.06</v>
      </c>
      <c r="M46" s="24">
        <f t="shared" ref="M46" si="26">M43 - M45</f>
        <v>822.54480000000012</v>
      </c>
      <c r="N46" s="24">
        <f t="shared" ref="N46" si="27">N43 - N45</f>
        <v>894.34838400000001</v>
      </c>
      <c r="O46" s="24">
        <f t="shared" ref="O46" si="28">O43 - O45</f>
        <v>971.89625472000023</v>
      </c>
    </row>
    <row r="47" spans="2:15" x14ac:dyDescent="0.3"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2:15" x14ac:dyDescent="0.3">
      <c r="E48" s="11" t="s">
        <v>154</v>
      </c>
      <c r="F48" s="11"/>
      <c r="G48" s="11" t="s">
        <v>89</v>
      </c>
      <c r="H48" s="11"/>
      <c r="I48" s="11"/>
      <c r="J48" s="15">
        <f xml:space="preserve"> InpC!$F$30</f>
        <v>100</v>
      </c>
      <c r="K48" s="15">
        <f xml:space="preserve"> InpC!$F$30</f>
        <v>100</v>
      </c>
      <c r="L48" s="15">
        <f xml:space="preserve"> InpC!$F$30</f>
        <v>100</v>
      </c>
      <c r="M48" s="15">
        <f xml:space="preserve"> InpC!$F$30</f>
        <v>100</v>
      </c>
      <c r="N48" s="15">
        <f xml:space="preserve"> InpC!$F$30</f>
        <v>100</v>
      </c>
      <c r="O48" s="15">
        <f xml:space="preserve"> InpC!$F$30</f>
        <v>100</v>
      </c>
    </row>
    <row r="49" spans="1:15" x14ac:dyDescent="0.3">
      <c r="E49" s="11" t="s">
        <v>90</v>
      </c>
      <c r="F49" s="11"/>
      <c r="G49" s="11" t="s">
        <v>91</v>
      </c>
      <c r="H49" s="11"/>
      <c r="I49" s="11"/>
      <c r="J49" s="28">
        <f>J46/ J48</f>
        <v>6.5</v>
      </c>
      <c r="K49" s="28">
        <f t="shared" ref="K49:O49" si="29">K46/ K48</f>
        <v>6.9450000000000003</v>
      </c>
      <c r="L49" s="28">
        <f t="shared" si="29"/>
        <v>7.5605999999999991</v>
      </c>
      <c r="M49" s="28">
        <f t="shared" si="29"/>
        <v>8.2254480000000019</v>
      </c>
      <c r="N49" s="28">
        <f t="shared" si="29"/>
        <v>8.9434838400000007</v>
      </c>
      <c r="O49" s="28">
        <f t="shared" si="29"/>
        <v>9.7189625472000021</v>
      </c>
    </row>
    <row r="50" spans="1:15" x14ac:dyDescent="0.3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">
      <c r="B51" s="3" t="s">
        <v>46</v>
      </c>
    </row>
    <row r="52" spans="1:15" x14ac:dyDescent="0.3">
      <c r="C52" s="5" t="s">
        <v>51</v>
      </c>
    </row>
    <row r="53" spans="1:15" x14ac:dyDescent="0.3">
      <c r="E53" t="s">
        <v>47</v>
      </c>
      <c r="G53" t="s">
        <v>33</v>
      </c>
      <c r="J53">
        <v>2500</v>
      </c>
      <c r="K53" s="11">
        <f xml:space="preserve"> K$132</f>
        <v>2770</v>
      </c>
      <c r="L53" s="11">
        <f t="shared" ref="L53:O53" si="30" xml:space="preserve"> L$132</f>
        <v>3061.6</v>
      </c>
      <c r="M53" s="11">
        <f t="shared" si="30"/>
        <v>3376.5280000000002</v>
      </c>
      <c r="N53" s="11">
        <f t="shared" si="30"/>
        <v>3716.6502400000004</v>
      </c>
      <c r="O53" s="11">
        <f t="shared" si="30"/>
        <v>4083.982259200001</v>
      </c>
    </row>
    <row r="54" spans="1:15" x14ac:dyDescent="0.3">
      <c r="E54" t="s">
        <v>48</v>
      </c>
      <c r="G54" t="s">
        <v>33</v>
      </c>
      <c r="J54">
        <v>1300</v>
      </c>
      <c r="K54">
        <f>J54</f>
        <v>1300</v>
      </c>
      <c r="L54">
        <f t="shared" ref="L54:O54" si="31">K54</f>
        <v>1300</v>
      </c>
      <c r="M54">
        <f t="shared" si="31"/>
        <v>1300</v>
      </c>
      <c r="N54">
        <f t="shared" si="31"/>
        <v>1300</v>
      </c>
      <c r="O54">
        <f t="shared" si="31"/>
        <v>1300</v>
      </c>
    </row>
    <row r="55" spans="1:15" x14ac:dyDescent="0.3">
      <c r="E55" t="s">
        <v>49</v>
      </c>
      <c r="G55" t="s">
        <v>33</v>
      </c>
      <c r="J55">
        <v>400</v>
      </c>
      <c r="K55" s="11">
        <f xml:space="preserve"> K$80</f>
        <v>824.5</v>
      </c>
      <c r="L55" s="11">
        <f t="shared" ref="L55:O55" si="32" xml:space="preserve"> L$80</f>
        <v>1288.96</v>
      </c>
      <c r="M55" s="11">
        <f t="shared" si="32"/>
        <v>1796.5768000000003</v>
      </c>
      <c r="N55" s="11">
        <f t="shared" si="32"/>
        <v>2350.802944</v>
      </c>
      <c r="O55" s="11">
        <f t="shared" si="32"/>
        <v>2955.3671795199998</v>
      </c>
    </row>
    <row r="56" spans="1:15" s="20" customFormat="1" x14ac:dyDescent="0.3">
      <c r="A56" s="21"/>
      <c r="B56" s="21"/>
      <c r="C56" s="22"/>
      <c r="E56" s="21" t="s">
        <v>50</v>
      </c>
      <c r="F56" s="21"/>
      <c r="G56" s="21" t="s">
        <v>33</v>
      </c>
      <c r="H56" s="21"/>
      <c r="I56" s="21"/>
      <c r="J56" s="21">
        <f>SUM(J53:J55)</f>
        <v>4200</v>
      </c>
      <c r="K56" s="21">
        <f t="shared" ref="K56:O56" si="33">SUM(K53:K55)</f>
        <v>4894.5</v>
      </c>
      <c r="L56" s="21">
        <f t="shared" si="33"/>
        <v>5650.56</v>
      </c>
      <c r="M56" s="21">
        <f t="shared" si="33"/>
        <v>6473.104800000001</v>
      </c>
      <c r="N56" s="21">
        <f t="shared" si="33"/>
        <v>7367.4531840000009</v>
      </c>
      <c r="O56" s="21">
        <f t="shared" si="33"/>
        <v>8339.3494387200008</v>
      </c>
    </row>
    <row r="58" spans="1:15" x14ac:dyDescent="0.3">
      <c r="C58" s="5" t="s">
        <v>52</v>
      </c>
    </row>
    <row r="59" spans="1:15" x14ac:dyDescent="0.3">
      <c r="E59" t="s">
        <v>53</v>
      </c>
      <c r="G59" t="s">
        <v>33</v>
      </c>
      <c r="J59">
        <v>2200</v>
      </c>
      <c r="K59" s="11">
        <f xml:space="preserve"> K$144</f>
        <v>2894.5</v>
      </c>
      <c r="L59" s="11">
        <f t="shared" ref="L59:O59" si="34" xml:space="preserve"> L$144</f>
        <v>3650.56</v>
      </c>
      <c r="M59" s="11">
        <f t="shared" si="34"/>
        <v>4473.1048000000001</v>
      </c>
      <c r="N59" s="11">
        <f t="shared" si="34"/>
        <v>5367.453184</v>
      </c>
      <c r="O59" s="11">
        <f t="shared" si="34"/>
        <v>6339.3494387199999</v>
      </c>
    </row>
    <row r="60" spans="1:15" x14ac:dyDescent="0.3">
      <c r="E60" t="s">
        <v>54</v>
      </c>
      <c r="G60" t="s">
        <v>33</v>
      </c>
      <c r="J60">
        <v>1000</v>
      </c>
      <c r="K60" s="11">
        <f xml:space="preserve"> K$111</f>
        <v>1000</v>
      </c>
      <c r="L60" s="11">
        <f t="shared" ref="L60:O60" si="35" xml:space="preserve"> L$111</f>
        <v>1000</v>
      </c>
      <c r="M60" s="11">
        <f t="shared" si="35"/>
        <v>1000</v>
      </c>
      <c r="N60" s="11">
        <f t="shared" si="35"/>
        <v>1000</v>
      </c>
      <c r="O60" s="11">
        <f t="shared" si="35"/>
        <v>1000</v>
      </c>
    </row>
    <row r="61" spans="1:15" x14ac:dyDescent="0.3">
      <c r="E61" t="s">
        <v>55</v>
      </c>
      <c r="G61" t="s">
        <v>33</v>
      </c>
      <c r="J61">
        <v>1000</v>
      </c>
      <c r="K61">
        <f>J61</f>
        <v>1000</v>
      </c>
      <c r="L61">
        <f t="shared" ref="L61:O61" si="36">K61</f>
        <v>1000</v>
      </c>
      <c r="M61">
        <f t="shared" si="36"/>
        <v>1000</v>
      </c>
      <c r="N61">
        <f t="shared" si="36"/>
        <v>1000</v>
      </c>
      <c r="O61">
        <f t="shared" si="36"/>
        <v>1000</v>
      </c>
    </row>
    <row r="62" spans="1:15" s="21" customFormat="1" x14ac:dyDescent="0.3">
      <c r="C62" s="23"/>
      <c r="E62" s="21" t="s">
        <v>56</v>
      </c>
      <c r="G62" s="21" t="s">
        <v>33</v>
      </c>
      <c r="J62" s="21">
        <f t="shared" ref="J62:O62" si="37">SUM(J59:J61)</f>
        <v>4200</v>
      </c>
      <c r="K62" s="21">
        <f t="shared" si="37"/>
        <v>4894.5</v>
      </c>
      <c r="L62" s="21">
        <f t="shared" si="37"/>
        <v>5650.5599999999995</v>
      </c>
      <c r="M62" s="21">
        <f t="shared" si="37"/>
        <v>6473.1048000000001</v>
      </c>
      <c r="N62" s="21">
        <f t="shared" si="37"/>
        <v>7367.453184</v>
      </c>
      <c r="O62" s="21">
        <f t="shared" si="37"/>
        <v>8339.3494387200008</v>
      </c>
    </row>
    <row r="64" spans="1:15" x14ac:dyDescent="0.3">
      <c r="E64" t="s">
        <v>57</v>
      </c>
      <c r="J64">
        <f t="shared" ref="J64:O64" si="38" xml:space="preserve"> ROUND(J56 - J62, 0)</f>
        <v>0</v>
      </c>
      <c r="K64">
        <f t="shared" si="38"/>
        <v>0</v>
      </c>
      <c r="L64">
        <f t="shared" si="38"/>
        <v>0</v>
      </c>
      <c r="M64">
        <f t="shared" si="38"/>
        <v>0</v>
      </c>
      <c r="N64">
        <f t="shared" si="38"/>
        <v>0</v>
      </c>
      <c r="O64">
        <f t="shared" si="38"/>
        <v>0</v>
      </c>
    </row>
    <row r="66" spans="1:15" x14ac:dyDescent="0.3">
      <c r="B66" s="3" t="s">
        <v>58</v>
      </c>
    </row>
    <row r="67" spans="1:15" x14ac:dyDescent="0.3">
      <c r="E67" s="11" t="str">
        <f xml:space="preserve"> E$46</f>
        <v>Profit After Tax</v>
      </c>
      <c r="F67" s="11">
        <f t="shared" ref="F67:I67" si="39" xml:space="preserve"> F$46</f>
        <v>0</v>
      </c>
      <c r="G67" s="11" t="str">
        <f t="shared" si="39"/>
        <v>INR Crs</v>
      </c>
      <c r="H67" s="11">
        <f t="shared" si="39"/>
        <v>0</v>
      </c>
      <c r="I67" s="11">
        <f t="shared" si="39"/>
        <v>0</v>
      </c>
      <c r="J67" s="11">
        <f xml:space="preserve"> J$46 * J$30</f>
        <v>0</v>
      </c>
      <c r="K67" s="11">
        <f t="shared" ref="K67:O67" si="40" xml:space="preserve"> K$46 * K$30</f>
        <v>694.5</v>
      </c>
      <c r="L67" s="11">
        <f t="shared" si="40"/>
        <v>756.06</v>
      </c>
      <c r="M67" s="11">
        <f t="shared" si="40"/>
        <v>822.54480000000012</v>
      </c>
      <c r="N67" s="11">
        <f t="shared" si="40"/>
        <v>894.34838400000001</v>
      </c>
      <c r="O67" s="11">
        <f t="shared" si="40"/>
        <v>971.89625472000023</v>
      </c>
    </row>
    <row r="68" spans="1:15" x14ac:dyDescent="0.3">
      <c r="E68" s="11" t="str">
        <f xml:space="preserve"> E$39</f>
        <v>Depreciation</v>
      </c>
      <c r="F68" s="11">
        <f t="shared" ref="F68:I68" si="41" xml:space="preserve"> F$39</f>
        <v>0</v>
      </c>
      <c r="G68" s="11" t="str">
        <f t="shared" si="41"/>
        <v>INR Crs</v>
      </c>
      <c r="H68" s="11">
        <f t="shared" si="41"/>
        <v>0</v>
      </c>
      <c r="I68" s="11">
        <f t="shared" si="41"/>
        <v>0</v>
      </c>
      <c r="J68" s="11">
        <f xml:space="preserve"> J$39  * J$30</f>
        <v>0</v>
      </c>
      <c r="K68" s="11">
        <f t="shared" ref="K68:O68" si="42" xml:space="preserve"> K$39  * K$30</f>
        <v>162</v>
      </c>
      <c r="L68" s="11">
        <f t="shared" si="42"/>
        <v>174.95999999999998</v>
      </c>
      <c r="M68" s="11">
        <f t="shared" si="42"/>
        <v>188.95680000000002</v>
      </c>
      <c r="N68" s="11">
        <f t="shared" si="42"/>
        <v>204.07334400000002</v>
      </c>
      <c r="O68" s="11">
        <f t="shared" si="42"/>
        <v>220.39921152000005</v>
      </c>
    </row>
    <row r="69" spans="1:15" x14ac:dyDescent="0.3">
      <c r="E69" t="s">
        <v>81</v>
      </c>
      <c r="G69" t="s">
        <v>33</v>
      </c>
      <c r="J69" s="11">
        <f>(I54 - J54)* J$30</f>
        <v>0</v>
      </c>
      <c r="K69" s="11">
        <f t="shared" ref="K69:O69" si="43">(J54 - K54)* K$30</f>
        <v>0</v>
      </c>
      <c r="L69" s="11">
        <f t="shared" si="43"/>
        <v>0</v>
      </c>
      <c r="M69" s="11">
        <f t="shared" si="43"/>
        <v>0</v>
      </c>
      <c r="N69" s="11">
        <f t="shared" si="43"/>
        <v>0</v>
      </c>
      <c r="O69" s="11">
        <f t="shared" si="43"/>
        <v>0</v>
      </c>
    </row>
    <row r="70" spans="1:15" s="20" customFormat="1" x14ac:dyDescent="0.3">
      <c r="A70" s="21"/>
      <c r="B70" s="21"/>
      <c r="C70" s="22"/>
      <c r="E70" s="20" t="s">
        <v>82</v>
      </c>
      <c r="G70" s="20" t="s">
        <v>33</v>
      </c>
      <c r="J70" s="20">
        <f>SUM(J67:J69)</f>
        <v>0</v>
      </c>
      <c r="K70" s="20">
        <f t="shared" ref="K70:O70" si="44">SUM(K67:K69)</f>
        <v>856.5</v>
      </c>
      <c r="L70" s="20">
        <f t="shared" si="44"/>
        <v>931.02</v>
      </c>
      <c r="M70" s="20">
        <f t="shared" si="44"/>
        <v>1011.5016000000002</v>
      </c>
      <c r="N70" s="20">
        <f t="shared" si="44"/>
        <v>1098.421728</v>
      </c>
      <c r="O70" s="20">
        <f t="shared" si="44"/>
        <v>1192.2954662400002</v>
      </c>
    </row>
    <row r="72" spans="1:15" x14ac:dyDescent="0.3">
      <c r="E72" t="s">
        <v>71</v>
      </c>
      <c r="G72" t="s">
        <v>33</v>
      </c>
      <c r="J72" s="11">
        <f>-1* J$130</f>
        <v>0</v>
      </c>
      <c r="K72" s="11">
        <f>-1* K$130</f>
        <v>-432</v>
      </c>
      <c r="L72" s="11">
        <f t="shared" ref="L72:O72" si="45">-1* L$130</f>
        <v>-466.56</v>
      </c>
      <c r="M72" s="11">
        <f t="shared" si="45"/>
        <v>-503.88480000000004</v>
      </c>
      <c r="N72" s="11">
        <f t="shared" si="45"/>
        <v>-544.19558400000005</v>
      </c>
      <c r="O72" s="11">
        <f t="shared" si="45"/>
        <v>-587.73123072000021</v>
      </c>
    </row>
    <row r="73" spans="1:15" s="20" customFormat="1" ht="12.5" x14ac:dyDescent="0.25">
      <c r="C73" s="22"/>
      <c r="E73" s="20" t="s">
        <v>83</v>
      </c>
      <c r="G73" s="20" t="s">
        <v>33</v>
      </c>
      <c r="J73" s="20">
        <f>SUM(J72)</f>
        <v>0</v>
      </c>
      <c r="K73" s="20">
        <f t="shared" ref="K73:O73" si="46">SUM(K72)</f>
        <v>-432</v>
      </c>
      <c r="L73" s="20">
        <f t="shared" si="46"/>
        <v>-466.56</v>
      </c>
      <c r="M73" s="20">
        <f t="shared" si="46"/>
        <v>-503.88480000000004</v>
      </c>
      <c r="N73" s="20">
        <f t="shared" si="46"/>
        <v>-544.19558400000005</v>
      </c>
      <c r="O73" s="20">
        <f t="shared" si="46"/>
        <v>-587.73123072000021</v>
      </c>
    </row>
    <row r="75" spans="1:15" s="1" customFormat="1" x14ac:dyDescent="0.3">
      <c r="A75" s="2"/>
      <c r="B75" s="2"/>
      <c r="C75" s="4"/>
    </row>
    <row r="76" spans="1:15" s="20" customFormat="1" x14ac:dyDescent="0.3">
      <c r="A76" s="21"/>
      <c r="B76" s="21"/>
      <c r="C76" s="22"/>
      <c r="E76" s="20" t="s">
        <v>84</v>
      </c>
      <c r="G76" s="20" t="s">
        <v>33</v>
      </c>
      <c r="J76" s="20">
        <f>SUM(J75)</f>
        <v>0</v>
      </c>
      <c r="K76" s="20">
        <f t="shared" ref="K76" si="47">SUM(K75)</f>
        <v>0</v>
      </c>
      <c r="L76" s="20">
        <f t="shared" ref="L76" si="48">SUM(L75)</f>
        <v>0</v>
      </c>
      <c r="M76" s="20">
        <f t="shared" ref="M76" si="49">SUM(M75)</f>
        <v>0</v>
      </c>
      <c r="N76" s="20">
        <f t="shared" ref="N76" si="50">SUM(N75)</f>
        <v>0</v>
      </c>
      <c r="O76" s="20">
        <f t="shared" ref="O76" si="51">SUM(O75)</f>
        <v>0</v>
      </c>
    </row>
    <row r="78" spans="1:15" x14ac:dyDescent="0.3">
      <c r="E78" t="s">
        <v>85</v>
      </c>
      <c r="G78" t="s">
        <v>33</v>
      </c>
      <c r="J78" s="1"/>
      <c r="K78">
        <f>J80</f>
        <v>400</v>
      </c>
      <c r="L78">
        <f t="shared" ref="L78:O78" si="52">K80</f>
        <v>824.5</v>
      </c>
      <c r="M78">
        <f t="shared" si="52"/>
        <v>1288.96</v>
      </c>
      <c r="N78">
        <f t="shared" si="52"/>
        <v>1796.5768000000003</v>
      </c>
      <c r="O78">
        <f t="shared" si="52"/>
        <v>2350.802944</v>
      </c>
    </row>
    <row r="79" spans="1:15" x14ac:dyDescent="0.3">
      <c r="E79" t="s">
        <v>86</v>
      </c>
      <c r="G79" t="s">
        <v>33</v>
      </c>
      <c r="J79" s="1"/>
      <c r="K79">
        <f>K70 +K73 + K76</f>
        <v>424.5</v>
      </c>
      <c r="L79">
        <f t="shared" ref="L79:O79" si="53">L70 +L73 + L76</f>
        <v>464.46</v>
      </c>
      <c r="M79">
        <f t="shared" si="53"/>
        <v>507.61680000000013</v>
      </c>
      <c r="N79">
        <f t="shared" si="53"/>
        <v>554.22614399999998</v>
      </c>
      <c r="O79">
        <f t="shared" si="53"/>
        <v>604.56423552000001</v>
      </c>
    </row>
    <row r="80" spans="1:15" s="20" customFormat="1" x14ac:dyDescent="0.3">
      <c r="A80" s="21"/>
      <c r="B80" s="21"/>
      <c r="C80" s="22"/>
      <c r="E80" s="20" t="s">
        <v>87</v>
      </c>
      <c r="G80" s="20" t="s">
        <v>33</v>
      </c>
      <c r="J80" s="20">
        <f>J55</f>
        <v>400</v>
      </c>
      <c r="K80" s="20">
        <f>SUM(K78:K79)</f>
        <v>824.5</v>
      </c>
      <c r="L80" s="20">
        <f t="shared" ref="L80:O80" si="54">SUM(L78:L79)</f>
        <v>1288.96</v>
      </c>
      <c r="M80" s="20">
        <f t="shared" si="54"/>
        <v>1796.5768000000003</v>
      </c>
      <c r="N80" s="20">
        <f t="shared" si="54"/>
        <v>2350.802944</v>
      </c>
      <c r="O80" s="20">
        <f t="shared" si="54"/>
        <v>2955.3671795199998</v>
      </c>
    </row>
    <row r="82" spans="1:15" s="1" customFormat="1" x14ac:dyDescent="0.3">
      <c r="A82" s="2" t="s">
        <v>42</v>
      </c>
      <c r="B82" s="2"/>
      <c r="C82" s="4"/>
    </row>
    <row r="84" spans="1:15" x14ac:dyDescent="0.3">
      <c r="C84" s="5" t="s">
        <v>30</v>
      </c>
    </row>
    <row r="85" spans="1:15" x14ac:dyDescent="0.3">
      <c r="E85" s="15" t="str">
        <f xml:space="preserve"> InpC!E$23</f>
        <v>Revenue</v>
      </c>
      <c r="F85" s="15">
        <f xml:space="preserve"> InpC!F$23</f>
        <v>5000</v>
      </c>
      <c r="G85" s="15" t="str">
        <f xml:space="preserve"> InpC!G$23</f>
        <v>INR Crs</v>
      </c>
    </row>
    <row r="86" spans="1:15" x14ac:dyDescent="0.3">
      <c r="E86" s="15" t="str">
        <f xml:space="preserve"> InpC!E$24</f>
        <v>Revenue Growth Rate</v>
      </c>
      <c r="F86" s="19">
        <f xml:space="preserve"> InpC!F$24</f>
        <v>0.08</v>
      </c>
      <c r="G86" s="15" t="str">
        <f xml:space="preserve"> InpC!G$24</f>
        <v>%</v>
      </c>
    </row>
    <row r="87" spans="1:15" x14ac:dyDescent="0.3">
      <c r="E87" s="11" t="str">
        <f xml:space="preserve"> E$23</f>
        <v>Actuals Active</v>
      </c>
      <c r="F87" s="11">
        <f t="shared" ref="F87:O87" si="55" xml:space="preserve"> F$23</f>
        <v>0</v>
      </c>
      <c r="G87" s="11" t="str">
        <f t="shared" si="55"/>
        <v>Flag</v>
      </c>
      <c r="H87" s="11">
        <f t="shared" si="55"/>
        <v>1</v>
      </c>
      <c r="I87" s="11">
        <f t="shared" si="55"/>
        <v>0</v>
      </c>
      <c r="J87" s="11">
        <f t="shared" si="55"/>
        <v>1</v>
      </c>
      <c r="K87" s="11">
        <f t="shared" si="55"/>
        <v>0</v>
      </c>
      <c r="L87" s="11">
        <f t="shared" si="55"/>
        <v>0</v>
      </c>
      <c r="M87" s="11">
        <f t="shared" si="55"/>
        <v>0</v>
      </c>
      <c r="N87" s="11">
        <f t="shared" si="55"/>
        <v>0</v>
      </c>
      <c r="O87" s="11">
        <f t="shared" si="55"/>
        <v>0</v>
      </c>
    </row>
    <row r="88" spans="1:15" x14ac:dyDescent="0.3">
      <c r="E88" s="11" t="str">
        <f xml:space="preserve"> E$30</f>
        <v>Projections Active</v>
      </c>
      <c r="F88" s="11">
        <f t="shared" ref="F88:O88" si="56" xml:space="preserve"> F$30</f>
        <v>0</v>
      </c>
      <c r="G88" s="11" t="str">
        <f t="shared" si="56"/>
        <v>Flag</v>
      </c>
      <c r="H88" s="11">
        <f t="shared" si="56"/>
        <v>5</v>
      </c>
      <c r="I88" s="11">
        <f t="shared" si="56"/>
        <v>0</v>
      </c>
      <c r="J88" s="11">
        <f t="shared" si="56"/>
        <v>0</v>
      </c>
      <c r="K88" s="11">
        <f t="shared" si="56"/>
        <v>1</v>
      </c>
      <c r="L88" s="11">
        <f t="shared" si="56"/>
        <v>1</v>
      </c>
      <c r="M88" s="11">
        <f t="shared" si="56"/>
        <v>1</v>
      </c>
      <c r="N88" s="11">
        <f t="shared" si="56"/>
        <v>1</v>
      </c>
      <c r="O88" s="11">
        <f t="shared" si="56"/>
        <v>1</v>
      </c>
    </row>
    <row r="89" spans="1:15" x14ac:dyDescent="0.3">
      <c r="E89" t="s">
        <v>30</v>
      </c>
      <c r="G89" t="s">
        <v>33</v>
      </c>
      <c r="J89">
        <f>IF(J87=1,$F85,IF(J88=1,I89*(1+J90),0))</f>
        <v>5000</v>
      </c>
      <c r="K89">
        <f t="shared" ref="K89:O89" si="57">IF(K87=1,$F85,IF(K88=1,J89*(1+K90),0))</f>
        <v>5400</v>
      </c>
      <c r="L89">
        <f t="shared" si="57"/>
        <v>5832</v>
      </c>
      <c r="M89">
        <f t="shared" si="57"/>
        <v>6298.56</v>
      </c>
      <c r="N89">
        <f t="shared" si="57"/>
        <v>6802.4448000000011</v>
      </c>
      <c r="O89">
        <f t="shared" si="57"/>
        <v>7346.6403840000021</v>
      </c>
    </row>
    <row r="90" spans="1:15" x14ac:dyDescent="0.3">
      <c r="E90" t="s">
        <v>35</v>
      </c>
      <c r="G90" t="s">
        <v>36</v>
      </c>
      <c r="J90" s="18">
        <f>IF(J88=1, $F86, 0)</f>
        <v>0</v>
      </c>
      <c r="K90" s="18">
        <f t="shared" ref="K90:O90" si="58">IF(K88=1, $F86, 0)</f>
        <v>0.08</v>
      </c>
      <c r="L90" s="18">
        <f t="shared" si="58"/>
        <v>0.08</v>
      </c>
      <c r="M90" s="18">
        <f t="shared" si="58"/>
        <v>0.08</v>
      </c>
      <c r="N90" s="18">
        <f t="shared" si="58"/>
        <v>0.08</v>
      </c>
      <c r="O90" s="18">
        <f t="shared" si="58"/>
        <v>0.08</v>
      </c>
    </row>
    <row r="92" spans="1:15" x14ac:dyDescent="0.3">
      <c r="C92" s="5" t="s">
        <v>40</v>
      </c>
    </row>
    <row r="93" spans="1:15" x14ac:dyDescent="0.3">
      <c r="E93" s="15" t="str">
        <f xml:space="preserve"> InpC!E$25</f>
        <v>EBITDA Margin</v>
      </c>
      <c r="F93" s="19">
        <f xml:space="preserve"> InpC!F$25</f>
        <v>0.22</v>
      </c>
      <c r="G93" s="15" t="str">
        <f xml:space="preserve"> InpC!G$25</f>
        <v>%</v>
      </c>
    </row>
    <row r="94" spans="1:15" x14ac:dyDescent="0.3">
      <c r="E94" s="11" t="str">
        <f xml:space="preserve"> E$89</f>
        <v>Revenue</v>
      </c>
      <c r="F94" s="11">
        <f t="shared" ref="F94:O94" si="59" xml:space="preserve"> F$89</f>
        <v>0</v>
      </c>
      <c r="G94" s="11" t="str">
        <f t="shared" si="59"/>
        <v>INR Crs</v>
      </c>
      <c r="H94" s="11">
        <f t="shared" si="59"/>
        <v>0</v>
      </c>
      <c r="I94" s="11">
        <f t="shared" si="59"/>
        <v>0</v>
      </c>
      <c r="J94" s="11">
        <f t="shared" si="59"/>
        <v>5000</v>
      </c>
      <c r="K94" s="11">
        <f t="shared" si="59"/>
        <v>5400</v>
      </c>
      <c r="L94" s="11">
        <f t="shared" si="59"/>
        <v>5832</v>
      </c>
      <c r="M94" s="11">
        <f t="shared" si="59"/>
        <v>6298.56</v>
      </c>
      <c r="N94" s="11">
        <f t="shared" si="59"/>
        <v>6802.4448000000011</v>
      </c>
      <c r="O94" s="11">
        <f t="shared" si="59"/>
        <v>7346.6403840000021</v>
      </c>
    </row>
    <row r="95" spans="1:15" x14ac:dyDescent="0.3">
      <c r="E95" t="s">
        <v>37</v>
      </c>
      <c r="G95" t="s">
        <v>33</v>
      </c>
      <c r="J95">
        <f>$F93 * J94</f>
        <v>1100</v>
      </c>
      <c r="K95">
        <f t="shared" ref="K95:O95" si="60">$F93 * K94</f>
        <v>1188</v>
      </c>
      <c r="L95">
        <f t="shared" si="60"/>
        <v>1283.04</v>
      </c>
      <c r="M95">
        <f t="shared" si="60"/>
        <v>1385.6832000000002</v>
      </c>
      <c r="N95">
        <f t="shared" si="60"/>
        <v>1496.5378560000001</v>
      </c>
      <c r="O95">
        <f t="shared" si="60"/>
        <v>1616.2608844800004</v>
      </c>
    </row>
    <row r="97" spans="1:15" x14ac:dyDescent="0.3">
      <c r="C97" s="5" t="s">
        <v>38</v>
      </c>
    </row>
    <row r="98" spans="1:15" x14ac:dyDescent="0.3">
      <c r="E98" s="15" t="str">
        <f xml:space="preserve"> InpC!E$26</f>
        <v>Depreciation</v>
      </c>
      <c r="F98" s="19">
        <f xml:space="preserve"> InpC!F$26</f>
        <v>0.03</v>
      </c>
      <c r="G98" s="15" t="str">
        <f xml:space="preserve"> InpC!G$26</f>
        <v>% of Revenue</v>
      </c>
    </row>
    <row r="99" spans="1:15" x14ac:dyDescent="0.3">
      <c r="E99" s="11" t="str">
        <f xml:space="preserve"> E$89</f>
        <v>Revenue</v>
      </c>
      <c r="F99" s="11">
        <f t="shared" ref="F99:O99" si="61" xml:space="preserve"> F$89</f>
        <v>0</v>
      </c>
      <c r="G99" s="11" t="str">
        <f t="shared" si="61"/>
        <v>INR Crs</v>
      </c>
      <c r="H99" s="11">
        <f t="shared" si="61"/>
        <v>0</v>
      </c>
      <c r="I99" s="11">
        <f t="shared" si="61"/>
        <v>0</v>
      </c>
      <c r="J99" s="11">
        <f t="shared" si="61"/>
        <v>5000</v>
      </c>
      <c r="K99" s="11">
        <f t="shared" si="61"/>
        <v>5400</v>
      </c>
      <c r="L99" s="11">
        <f t="shared" si="61"/>
        <v>5832</v>
      </c>
      <c r="M99" s="11">
        <f t="shared" si="61"/>
        <v>6298.56</v>
      </c>
      <c r="N99" s="11">
        <f t="shared" si="61"/>
        <v>6802.4448000000011</v>
      </c>
      <c r="O99" s="11">
        <f t="shared" si="61"/>
        <v>7346.6403840000021</v>
      </c>
    </row>
    <row r="100" spans="1:15" x14ac:dyDescent="0.3">
      <c r="E100" t="s">
        <v>38</v>
      </c>
      <c r="G100" t="s">
        <v>33</v>
      </c>
      <c r="J100">
        <f>$F98 * J99</f>
        <v>150</v>
      </c>
      <c r="K100">
        <f t="shared" ref="K100" si="62">$F98 * K99</f>
        <v>162</v>
      </c>
      <c r="L100">
        <f t="shared" ref="L100" si="63">$F98 * L99</f>
        <v>174.95999999999998</v>
      </c>
      <c r="M100">
        <f t="shared" ref="M100" si="64">$F98 * M99</f>
        <v>188.95680000000002</v>
      </c>
      <c r="N100">
        <f t="shared" ref="N100" si="65">$F98 * N99</f>
        <v>204.07334400000002</v>
      </c>
      <c r="O100">
        <f t="shared" ref="O100" si="66">$F98 * O99</f>
        <v>220.39921152000005</v>
      </c>
    </row>
    <row r="103" spans="1:15" x14ac:dyDescent="0.3">
      <c r="C103" s="5" t="s">
        <v>59</v>
      </c>
    </row>
    <row r="104" spans="1:15" x14ac:dyDescent="0.3">
      <c r="E104" s="15" t="str">
        <f xml:space="preserve"> InpC!E$27</f>
        <v>Interest Rate</v>
      </c>
      <c r="F104" s="19">
        <f xml:space="preserve"> InpC!F$27</f>
        <v>0.1</v>
      </c>
      <c r="G104" s="15" t="str">
        <f xml:space="preserve"> InpC!G$27</f>
        <v>%</v>
      </c>
    </row>
    <row r="105" spans="1:15" x14ac:dyDescent="0.3">
      <c r="E105" s="15" t="str">
        <f xml:space="preserve"> InpC!E$39</f>
        <v>Long-term Debt</v>
      </c>
      <c r="F105" s="15">
        <f xml:space="preserve"> InpC!F$39</f>
        <v>1000</v>
      </c>
      <c r="G105" s="15" t="str">
        <f xml:space="preserve"> InpC!G$39</f>
        <v>INR Crs</v>
      </c>
    </row>
    <row r="107" spans="1:15" x14ac:dyDescent="0.3">
      <c r="E107" s="11" t="str">
        <f xml:space="preserve"> E$28</f>
        <v>Projections Start</v>
      </c>
      <c r="F107" s="11">
        <f t="shared" ref="F107:O107" si="67" xml:space="preserve"> F$28</f>
        <v>0</v>
      </c>
      <c r="G107" s="11" t="str">
        <f t="shared" si="67"/>
        <v>Flag</v>
      </c>
      <c r="H107" s="11">
        <f t="shared" si="67"/>
        <v>1</v>
      </c>
      <c r="I107" s="11">
        <f t="shared" si="67"/>
        <v>0</v>
      </c>
      <c r="J107" s="11">
        <f t="shared" si="67"/>
        <v>0</v>
      </c>
      <c r="K107" s="11">
        <f t="shared" si="67"/>
        <v>1</v>
      </c>
      <c r="L107" s="11">
        <f t="shared" si="67"/>
        <v>0</v>
      </c>
      <c r="M107" s="11">
        <f t="shared" si="67"/>
        <v>0</v>
      </c>
      <c r="N107" s="11">
        <f t="shared" si="67"/>
        <v>0</v>
      </c>
      <c r="O107" s="11">
        <f t="shared" si="67"/>
        <v>0</v>
      </c>
    </row>
    <row r="108" spans="1:15" x14ac:dyDescent="0.3">
      <c r="E108" t="s">
        <v>61</v>
      </c>
      <c r="G108" t="s">
        <v>33</v>
      </c>
      <c r="J108">
        <f xml:space="preserve"> IF(J107=1, $F105, I111)</f>
        <v>0</v>
      </c>
      <c r="K108">
        <f t="shared" ref="K108:O108" si="68" xml:space="preserve"> IF(K107=1, $F105, J111)</f>
        <v>1000</v>
      </c>
      <c r="L108">
        <f t="shared" si="68"/>
        <v>1000</v>
      </c>
      <c r="M108">
        <f t="shared" si="68"/>
        <v>1000</v>
      </c>
      <c r="N108">
        <f t="shared" si="68"/>
        <v>1000</v>
      </c>
      <c r="O108">
        <f t="shared" si="68"/>
        <v>1000</v>
      </c>
    </row>
    <row r="109" spans="1:15" x14ac:dyDescent="0.3">
      <c r="E109" t="s">
        <v>62</v>
      </c>
      <c r="G109" t="s">
        <v>33</v>
      </c>
      <c r="J109" s="1"/>
      <c r="K109" s="1"/>
      <c r="L109" s="1"/>
      <c r="M109" s="1"/>
      <c r="N109" s="1"/>
      <c r="O109" s="1"/>
    </row>
    <row r="110" spans="1:15" x14ac:dyDescent="0.3">
      <c r="E110" t="s">
        <v>63</v>
      </c>
      <c r="G110" t="s">
        <v>33</v>
      </c>
      <c r="J110" s="1"/>
      <c r="K110" s="1"/>
      <c r="L110" s="1"/>
      <c r="M110" s="1"/>
      <c r="N110" s="1"/>
      <c r="O110" s="1"/>
    </row>
    <row r="111" spans="1:15" s="20" customFormat="1" x14ac:dyDescent="0.3">
      <c r="A111" s="21"/>
      <c r="B111" s="21"/>
      <c r="C111" s="22"/>
      <c r="E111" s="20" t="s">
        <v>64</v>
      </c>
      <c r="G111" s="20" t="s">
        <v>33</v>
      </c>
      <c r="J111" s="20">
        <f xml:space="preserve"> J108 + J109 - J110</f>
        <v>0</v>
      </c>
      <c r="K111" s="20">
        <f t="shared" ref="K111:O111" si="69" xml:space="preserve"> K108 + K109 - K110</f>
        <v>1000</v>
      </c>
      <c r="L111" s="20">
        <f t="shared" si="69"/>
        <v>1000</v>
      </c>
      <c r="M111" s="20">
        <f t="shared" si="69"/>
        <v>1000</v>
      </c>
      <c r="N111" s="20">
        <f t="shared" si="69"/>
        <v>1000</v>
      </c>
      <c r="O111" s="20">
        <f t="shared" si="69"/>
        <v>1000</v>
      </c>
    </row>
    <row r="113" spans="3:15" x14ac:dyDescent="0.3">
      <c r="E113" s="11" t="str">
        <f xml:space="preserve"> E$30</f>
        <v>Projections Active</v>
      </c>
      <c r="F113" s="11">
        <f t="shared" ref="F113:O113" si="70" xml:space="preserve"> F$30</f>
        <v>0</v>
      </c>
      <c r="G113" s="11" t="str">
        <f t="shared" si="70"/>
        <v>Flag</v>
      </c>
      <c r="H113" s="11">
        <f t="shared" si="70"/>
        <v>5</v>
      </c>
      <c r="I113" s="11">
        <f t="shared" si="70"/>
        <v>0</v>
      </c>
      <c r="J113" s="11">
        <f t="shared" si="70"/>
        <v>0</v>
      </c>
      <c r="K113" s="11">
        <f t="shared" si="70"/>
        <v>1</v>
      </c>
      <c r="L113" s="11">
        <f t="shared" si="70"/>
        <v>1</v>
      </c>
      <c r="M113" s="11">
        <f t="shared" si="70"/>
        <v>1</v>
      </c>
      <c r="N113" s="11">
        <f t="shared" si="70"/>
        <v>1</v>
      </c>
      <c r="O113" s="11">
        <f t="shared" si="70"/>
        <v>1</v>
      </c>
    </row>
    <row r="114" spans="3:15" x14ac:dyDescent="0.3">
      <c r="E114" t="s">
        <v>65</v>
      </c>
      <c r="G114" t="s">
        <v>33</v>
      </c>
      <c r="J114">
        <f>IF(J113=1,$F104*SUM(J108:J109), 0)</f>
        <v>0</v>
      </c>
      <c r="K114">
        <f t="shared" ref="K114:O114" si="71">IF(K113=1,$F104*SUM(K108:K109), 0)</f>
        <v>100</v>
      </c>
      <c r="L114">
        <f t="shared" si="71"/>
        <v>100</v>
      </c>
      <c r="M114">
        <f t="shared" si="71"/>
        <v>100</v>
      </c>
      <c r="N114">
        <f t="shared" si="71"/>
        <v>100</v>
      </c>
      <c r="O114">
        <f t="shared" si="71"/>
        <v>100</v>
      </c>
    </row>
    <row r="116" spans="3:15" x14ac:dyDescent="0.3">
      <c r="C116" s="5" t="s">
        <v>69</v>
      </c>
    </row>
    <row r="117" spans="3:15" x14ac:dyDescent="0.3">
      <c r="E117" s="15" t="str">
        <f xml:space="preserve"> InpC!E$28</f>
        <v>Corporate Tax Rate</v>
      </c>
      <c r="F117" s="19">
        <f xml:space="preserve"> InpC!F$28</f>
        <v>0.25</v>
      </c>
      <c r="G117" s="15" t="str">
        <f xml:space="preserve"> InpC!G$28</f>
        <v>%</v>
      </c>
    </row>
    <row r="118" spans="3:15" x14ac:dyDescent="0.3">
      <c r="E118" s="11" t="str">
        <f xml:space="preserve"> E$30</f>
        <v>Projections Active</v>
      </c>
      <c r="F118" s="11">
        <f t="shared" ref="F118:O118" si="72" xml:space="preserve"> F$30</f>
        <v>0</v>
      </c>
      <c r="G118" s="11" t="str">
        <f t="shared" si="72"/>
        <v>Flag</v>
      </c>
      <c r="H118" s="11">
        <f t="shared" si="72"/>
        <v>5</v>
      </c>
      <c r="I118" s="11">
        <f t="shared" si="72"/>
        <v>0</v>
      </c>
      <c r="J118" s="11">
        <f t="shared" si="72"/>
        <v>0</v>
      </c>
      <c r="K118" s="11">
        <f t="shared" si="72"/>
        <v>1</v>
      </c>
      <c r="L118" s="11">
        <f t="shared" si="72"/>
        <v>1</v>
      </c>
      <c r="M118" s="11">
        <f t="shared" si="72"/>
        <v>1</v>
      </c>
      <c r="N118" s="11">
        <f t="shared" si="72"/>
        <v>1</v>
      </c>
      <c r="O118" s="11">
        <f t="shared" si="72"/>
        <v>1</v>
      </c>
    </row>
    <row r="119" spans="3:15" x14ac:dyDescent="0.3">
      <c r="E119" s="11" t="str">
        <f xml:space="preserve"> E$43</f>
        <v>Profit Before Tax</v>
      </c>
      <c r="F119" s="11">
        <f t="shared" ref="F119:O119" si="73" xml:space="preserve"> F$43</f>
        <v>0</v>
      </c>
      <c r="G119" s="11" t="str">
        <f t="shared" si="73"/>
        <v>INR Crs</v>
      </c>
      <c r="H119" s="11">
        <f t="shared" si="73"/>
        <v>0</v>
      </c>
      <c r="I119" s="11">
        <f t="shared" si="73"/>
        <v>0</v>
      </c>
      <c r="J119" s="11">
        <f t="shared" si="73"/>
        <v>950</v>
      </c>
      <c r="K119" s="11">
        <f t="shared" si="73"/>
        <v>926</v>
      </c>
      <c r="L119" s="11">
        <f t="shared" si="73"/>
        <v>1008.0799999999999</v>
      </c>
      <c r="M119" s="11">
        <f t="shared" si="73"/>
        <v>1096.7264000000002</v>
      </c>
      <c r="N119" s="11">
        <f t="shared" si="73"/>
        <v>1192.464512</v>
      </c>
      <c r="O119" s="11">
        <f t="shared" si="73"/>
        <v>1295.8616729600003</v>
      </c>
    </row>
    <row r="120" spans="3:15" x14ac:dyDescent="0.3">
      <c r="E120" t="s">
        <v>67</v>
      </c>
      <c r="G120" t="s">
        <v>33</v>
      </c>
      <c r="J120">
        <f>IF(J118=1, $F117 * J$119, 0)</f>
        <v>0</v>
      </c>
      <c r="K120">
        <f t="shared" ref="K120:O120" si="74">IF(K118=1, $F117 * K$119, 0)</f>
        <v>231.5</v>
      </c>
      <c r="L120">
        <f t="shared" si="74"/>
        <v>252.01999999999998</v>
      </c>
      <c r="M120">
        <f t="shared" si="74"/>
        <v>274.18160000000006</v>
      </c>
      <c r="N120">
        <f t="shared" si="74"/>
        <v>298.116128</v>
      </c>
      <c r="O120">
        <f t="shared" si="74"/>
        <v>323.96541824000008</v>
      </c>
    </row>
    <row r="122" spans="3:15" x14ac:dyDescent="0.3">
      <c r="C122" s="5" t="s">
        <v>47</v>
      </c>
    </row>
    <row r="123" spans="3:15" x14ac:dyDescent="0.3">
      <c r="E123" s="15" t="str">
        <f xml:space="preserve"> InpC!E$29</f>
        <v>Capital Expenditure</v>
      </c>
      <c r="F123" s="19">
        <f xml:space="preserve"> InpC!F$29</f>
        <v>0.08</v>
      </c>
      <c r="G123" s="15" t="str">
        <f xml:space="preserve"> InpC!G$29</f>
        <v>% of Revenue</v>
      </c>
    </row>
    <row r="124" spans="3:15" x14ac:dyDescent="0.3">
      <c r="E124" s="15" t="str">
        <f xml:space="preserve"> InpC!E$33</f>
        <v>Fixed Assets</v>
      </c>
      <c r="F124" s="15">
        <f xml:space="preserve"> InpC!F$33</f>
        <v>2500</v>
      </c>
      <c r="G124" s="15" t="str">
        <f xml:space="preserve"> InpC!G$33</f>
        <v>INR Crs</v>
      </c>
    </row>
    <row r="125" spans="3:15" x14ac:dyDescent="0.3">
      <c r="E125" s="11" t="str">
        <f xml:space="preserve"> E$30</f>
        <v>Projections Active</v>
      </c>
      <c r="F125" s="11">
        <f t="shared" ref="F125:O125" si="75" xml:space="preserve"> F$30</f>
        <v>0</v>
      </c>
      <c r="G125" s="11" t="str">
        <f t="shared" si="75"/>
        <v>Flag</v>
      </c>
      <c r="H125" s="11">
        <f t="shared" si="75"/>
        <v>5</v>
      </c>
      <c r="I125" s="11">
        <f t="shared" si="75"/>
        <v>0</v>
      </c>
      <c r="J125" s="11">
        <f t="shared" si="75"/>
        <v>0</v>
      </c>
      <c r="K125" s="11">
        <f t="shared" si="75"/>
        <v>1</v>
      </c>
      <c r="L125" s="11">
        <f t="shared" si="75"/>
        <v>1</v>
      </c>
      <c r="M125" s="11">
        <f t="shared" si="75"/>
        <v>1</v>
      </c>
      <c r="N125" s="11">
        <f t="shared" si="75"/>
        <v>1</v>
      </c>
      <c r="O125" s="11">
        <f t="shared" si="75"/>
        <v>1</v>
      </c>
    </row>
    <row r="126" spans="3:15" x14ac:dyDescent="0.3">
      <c r="E126" s="11" t="str">
        <f xml:space="preserve"> E$89</f>
        <v>Revenue</v>
      </c>
      <c r="F126" s="11">
        <f t="shared" ref="F126:O126" si="76" xml:space="preserve"> F$89</f>
        <v>0</v>
      </c>
      <c r="G126" s="11" t="str">
        <f t="shared" si="76"/>
        <v>INR Crs</v>
      </c>
      <c r="H126" s="11">
        <f t="shared" si="76"/>
        <v>0</v>
      </c>
      <c r="I126" s="11">
        <f t="shared" si="76"/>
        <v>0</v>
      </c>
      <c r="J126" s="11">
        <f t="shared" si="76"/>
        <v>5000</v>
      </c>
      <c r="K126" s="11">
        <f t="shared" si="76"/>
        <v>5400</v>
      </c>
      <c r="L126" s="11">
        <f t="shared" si="76"/>
        <v>5832</v>
      </c>
      <c r="M126" s="11">
        <f t="shared" si="76"/>
        <v>6298.56</v>
      </c>
      <c r="N126" s="11">
        <f t="shared" si="76"/>
        <v>6802.4448000000011</v>
      </c>
      <c r="O126" s="11">
        <f t="shared" si="76"/>
        <v>7346.6403840000021</v>
      </c>
    </row>
    <row r="128" spans="3:15" x14ac:dyDescent="0.3">
      <c r="E128" s="11" t="str">
        <f xml:space="preserve"> E$28</f>
        <v>Projections Start</v>
      </c>
      <c r="F128" s="11">
        <f t="shared" ref="F128:O128" si="77" xml:space="preserve"> F$28</f>
        <v>0</v>
      </c>
      <c r="G128" s="11" t="str">
        <f t="shared" si="77"/>
        <v>Flag</v>
      </c>
      <c r="H128" s="11">
        <f t="shared" si="77"/>
        <v>1</v>
      </c>
      <c r="I128" s="11">
        <f t="shared" si="77"/>
        <v>0</v>
      </c>
      <c r="J128" s="11">
        <f t="shared" si="77"/>
        <v>0</v>
      </c>
      <c r="K128" s="11">
        <f t="shared" si="77"/>
        <v>1</v>
      </c>
      <c r="L128" s="11">
        <f t="shared" si="77"/>
        <v>0</v>
      </c>
      <c r="M128" s="11">
        <f t="shared" si="77"/>
        <v>0</v>
      </c>
      <c r="N128" s="11">
        <f t="shared" si="77"/>
        <v>0</v>
      </c>
      <c r="O128" s="11">
        <f t="shared" si="77"/>
        <v>0</v>
      </c>
    </row>
    <row r="129" spans="1:15" x14ac:dyDescent="0.3">
      <c r="E129" t="s">
        <v>72</v>
      </c>
      <c r="G129" t="s">
        <v>33</v>
      </c>
      <c r="J129">
        <f>IF(J128=1, $F124, I132)</f>
        <v>0</v>
      </c>
      <c r="K129">
        <f t="shared" ref="K129:O129" si="78">IF(K128=1, $F124, J132)</f>
        <v>2500</v>
      </c>
      <c r="L129">
        <f t="shared" si="78"/>
        <v>2770</v>
      </c>
      <c r="M129">
        <f t="shared" si="78"/>
        <v>3061.6</v>
      </c>
      <c r="N129">
        <f t="shared" si="78"/>
        <v>3376.5280000000002</v>
      </c>
      <c r="O129">
        <f t="shared" si="78"/>
        <v>3716.6502400000004</v>
      </c>
    </row>
    <row r="130" spans="1:15" x14ac:dyDescent="0.3">
      <c r="E130" t="s">
        <v>73</v>
      </c>
      <c r="G130" t="s">
        <v>33</v>
      </c>
      <c r="J130">
        <f>IF(J125=1, $F123 * J$126, 0)</f>
        <v>0</v>
      </c>
      <c r="K130">
        <f t="shared" ref="K130:O130" si="79">IF(K125=1, $F123 * K$126, 0)</f>
        <v>432</v>
      </c>
      <c r="L130">
        <f t="shared" si="79"/>
        <v>466.56</v>
      </c>
      <c r="M130">
        <f t="shared" si="79"/>
        <v>503.88480000000004</v>
      </c>
      <c r="N130">
        <f t="shared" si="79"/>
        <v>544.19558400000005</v>
      </c>
      <c r="O130">
        <f t="shared" si="79"/>
        <v>587.73123072000021</v>
      </c>
    </row>
    <row r="131" spans="1:15" x14ac:dyDescent="0.3">
      <c r="E131" t="s">
        <v>74</v>
      </c>
      <c r="G131" t="s">
        <v>33</v>
      </c>
      <c r="K131" s="11">
        <f xml:space="preserve"> K$100</f>
        <v>162</v>
      </c>
      <c r="L131" s="11">
        <f t="shared" ref="L131:O131" si="80" xml:space="preserve"> L$100</f>
        <v>174.95999999999998</v>
      </c>
      <c r="M131" s="11">
        <f t="shared" si="80"/>
        <v>188.95680000000002</v>
      </c>
      <c r="N131" s="11">
        <f t="shared" si="80"/>
        <v>204.07334400000002</v>
      </c>
      <c r="O131" s="11">
        <f t="shared" si="80"/>
        <v>220.39921152000005</v>
      </c>
    </row>
    <row r="132" spans="1:15" s="20" customFormat="1" x14ac:dyDescent="0.3">
      <c r="A132" s="21"/>
      <c r="B132" s="21"/>
      <c r="C132" s="22"/>
      <c r="E132" s="20" t="s">
        <v>75</v>
      </c>
      <c r="G132" s="20" t="s">
        <v>33</v>
      </c>
      <c r="J132" s="20">
        <f>J129 +J130 -J131</f>
        <v>0</v>
      </c>
      <c r="K132" s="20">
        <f t="shared" ref="K132:O132" si="81">K129 +K130 -K131</f>
        <v>2770</v>
      </c>
      <c r="L132" s="20">
        <f t="shared" si="81"/>
        <v>3061.6</v>
      </c>
      <c r="M132" s="20">
        <f t="shared" si="81"/>
        <v>3376.5280000000002</v>
      </c>
      <c r="N132" s="20">
        <f t="shared" si="81"/>
        <v>3716.6502400000004</v>
      </c>
      <c r="O132" s="20">
        <f t="shared" si="81"/>
        <v>4083.982259200001</v>
      </c>
    </row>
    <row r="134" spans="1:15" x14ac:dyDescent="0.3">
      <c r="C134" s="5" t="s">
        <v>76</v>
      </c>
    </row>
    <row r="135" spans="1:15" x14ac:dyDescent="0.3">
      <c r="E135" s="15" t="str">
        <f xml:space="preserve"> InpC!E$38</f>
        <v>Equity (Net Worth)</v>
      </c>
      <c r="F135" s="15">
        <f xml:space="preserve"> InpC!F$38</f>
        <v>2200</v>
      </c>
      <c r="G135" s="15" t="str">
        <f xml:space="preserve"> InpC!G$38</f>
        <v>INR Crs</v>
      </c>
    </row>
    <row r="137" spans="1:15" x14ac:dyDescent="0.3">
      <c r="E137" s="11" t="str">
        <f xml:space="preserve"> E$30</f>
        <v>Projections Active</v>
      </c>
      <c r="F137" s="11">
        <f t="shared" ref="F137:O137" si="82" xml:space="preserve"> F$30</f>
        <v>0</v>
      </c>
      <c r="G137" s="11" t="str">
        <f t="shared" si="82"/>
        <v>Flag</v>
      </c>
      <c r="H137" s="11">
        <f t="shared" si="82"/>
        <v>5</v>
      </c>
      <c r="I137" s="11">
        <f t="shared" si="82"/>
        <v>0</v>
      </c>
      <c r="J137" s="11">
        <f t="shared" si="82"/>
        <v>0</v>
      </c>
      <c r="K137" s="11">
        <f t="shared" si="82"/>
        <v>1</v>
      </c>
      <c r="L137" s="11">
        <f t="shared" si="82"/>
        <v>1</v>
      </c>
      <c r="M137" s="11">
        <f t="shared" si="82"/>
        <v>1</v>
      </c>
      <c r="N137" s="11">
        <f t="shared" si="82"/>
        <v>1</v>
      </c>
      <c r="O137" s="11">
        <f t="shared" si="82"/>
        <v>1</v>
      </c>
    </row>
    <row r="138" spans="1:15" x14ac:dyDescent="0.3">
      <c r="E138" s="11" t="str">
        <f xml:space="preserve"> E$46</f>
        <v>Profit After Tax</v>
      </c>
      <c r="F138" s="11">
        <f t="shared" ref="F138:O138" si="83" xml:space="preserve"> F$46</f>
        <v>0</v>
      </c>
      <c r="G138" s="11" t="str">
        <f t="shared" si="83"/>
        <v>INR Crs</v>
      </c>
      <c r="H138" s="11">
        <f t="shared" si="83"/>
        <v>0</v>
      </c>
      <c r="I138" s="11">
        <f t="shared" si="83"/>
        <v>0</v>
      </c>
      <c r="J138" s="11">
        <f t="shared" si="83"/>
        <v>650</v>
      </c>
      <c r="K138" s="11">
        <f t="shared" si="83"/>
        <v>694.5</v>
      </c>
      <c r="L138" s="11">
        <f t="shared" si="83"/>
        <v>756.06</v>
      </c>
      <c r="M138" s="11">
        <f t="shared" si="83"/>
        <v>822.54480000000012</v>
      </c>
      <c r="N138" s="11">
        <f t="shared" si="83"/>
        <v>894.34838400000001</v>
      </c>
      <c r="O138" s="11">
        <f t="shared" si="83"/>
        <v>971.89625472000023</v>
      </c>
    </row>
    <row r="139" spans="1:15" x14ac:dyDescent="0.3"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x14ac:dyDescent="0.3">
      <c r="E140" s="11" t="str">
        <f xml:space="preserve"> E$28</f>
        <v>Projections Start</v>
      </c>
      <c r="F140" s="11">
        <f t="shared" ref="F140:O140" si="84" xml:space="preserve"> F$28</f>
        <v>0</v>
      </c>
      <c r="G140" s="11" t="str">
        <f t="shared" si="84"/>
        <v>Flag</v>
      </c>
      <c r="H140" s="11">
        <f t="shared" si="84"/>
        <v>1</v>
      </c>
      <c r="I140" s="11">
        <f t="shared" si="84"/>
        <v>0</v>
      </c>
      <c r="J140" s="11">
        <f t="shared" si="84"/>
        <v>0</v>
      </c>
      <c r="K140" s="11">
        <f t="shared" si="84"/>
        <v>1</v>
      </c>
      <c r="L140" s="11">
        <f t="shared" si="84"/>
        <v>0</v>
      </c>
      <c r="M140" s="11">
        <f t="shared" si="84"/>
        <v>0</v>
      </c>
      <c r="N140" s="11">
        <f t="shared" si="84"/>
        <v>0</v>
      </c>
      <c r="O140" s="11">
        <f t="shared" si="84"/>
        <v>0</v>
      </c>
    </row>
    <row r="141" spans="1:15" x14ac:dyDescent="0.3">
      <c r="E141" t="s">
        <v>77</v>
      </c>
      <c r="G141" t="s">
        <v>33</v>
      </c>
      <c r="J141">
        <f>IF(J140=1, $F135, I144)</f>
        <v>0</v>
      </c>
      <c r="K141">
        <f t="shared" ref="K141:O141" si="85">IF(K140=1, $F135, J144)</f>
        <v>2200</v>
      </c>
      <c r="L141">
        <f t="shared" si="85"/>
        <v>2894.5</v>
      </c>
      <c r="M141">
        <f t="shared" si="85"/>
        <v>3650.56</v>
      </c>
      <c r="N141">
        <f t="shared" si="85"/>
        <v>4473.1048000000001</v>
      </c>
      <c r="O141">
        <f t="shared" si="85"/>
        <v>5367.453184</v>
      </c>
    </row>
    <row r="142" spans="1:15" x14ac:dyDescent="0.3">
      <c r="E142" t="s">
        <v>78</v>
      </c>
      <c r="G142" t="s">
        <v>33</v>
      </c>
      <c r="J142">
        <f>IF(J137=1, J138, 0)</f>
        <v>0</v>
      </c>
      <c r="K142">
        <f t="shared" ref="K142:O142" si="86">IF(K137=1, K138, 0)</f>
        <v>694.5</v>
      </c>
      <c r="L142">
        <f t="shared" si="86"/>
        <v>756.06</v>
      </c>
      <c r="M142">
        <f t="shared" si="86"/>
        <v>822.54480000000012</v>
      </c>
      <c r="N142">
        <f t="shared" si="86"/>
        <v>894.34838400000001</v>
      </c>
      <c r="O142">
        <f t="shared" si="86"/>
        <v>971.89625472000023</v>
      </c>
    </row>
    <row r="143" spans="1:15" x14ac:dyDescent="0.3">
      <c r="E143" t="s">
        <v>79</v>
      </c>
      <c r="G143" t="s">
        <v>33</v>
      </c>
    </row>
    <row r="144" spans="1:15" s="21" customFormat="1" x14ac:dyDescent="0.3">
      <c r="C144" s="23"/>
      <c r="E144" s="21" t="s">
        <v>80</v>
      </c>
      <c r="G144" s="21" t="s">
        <v>33</v>
      </c>
      <c r="J144" s="21">
        <f>J141 + J142 - J143</f>
        <v>0</v>
      </c>
      <c r="K144" s="21">
        <f t="shared" ref="K144:O144" si="87">K141 + K142 - K143</f>
        <v>2894.5</v>
      </c>
      <c r="L144" s="21">
        <f t="shared" si="87"/>
        <v>3650.56</v>
      </c>
      <c r="M144" s="21">
        <f t="shared" si="87"/>
        <v>4473.1048000000001</v>
      </c>
      <c r="N144" s="21">
        <f t="shared" si="87"/>
        <v>5367.453184</v>
      </c>
      <c r="O144" s="21">
        <f t="shared" si="87"/>
        <v>6339.3494387199999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B8989-61C3-4915-BCBB-BE24496FE32C}">
  <sheetPr>
    <tabColor rgb="FF92D050"/>
  </sheetPr>
  <dimension ref="A1:O141"/>
  <sheetViews>
    <sheetView showGridLines="0" zoomScale="130" zoomScaleNormal="130" workbookViewId="0">
      <pane xSplit="9" ySplit="6" topLeftCell="J76" activePane="bottomRight" state="frozen"/>
      <selection pane="topRight" activeCell="J1" sqref="J1"/>
      <selection pane="bottomLeft" activeCell="A7" sqref="A7"/>
      <selection pane="bottomRight" activeCell="E37" sqref="E37:O37"/>
    </sheetView>
  </sheetViews>
  <sheetFormatPr defaultColWidth="0" defaultRowHeight="13" x14ac:dyDescent="0.3"/>
  <cols>
    <col min="1" max="2" width="1.81640625" style="3" customWidth="1"/>
    <col min="3" max="3" width="1.81640625" style="5" customWidth="1"/>
    <col min="4" max="4" width="1.81640625" customWidth="1"/>
    <col min="5" max="5" width="40.81640625" customWidth="1"/>
    <col min="6" max="8" width="10.08984375" bestFit="1" customWidth="1"/>
    <col min="9" max="9" width="1.81640625" customWidth="1"/>
    <col min="10" max="15" width="10.08984375" bestFit="1" customWidth="1"/>
    <col min="16" max="16384" width="8.90625" hidden="1"/>
  </cols>
  <sheetData>
    <row r="1" spans="1:15" x14ac:dyDescent="0.3">
      <c r="E1" s="11" t="str">
        <f t="shared" ref="E1:O1" si="0" xml:space="preserve"> E$13</f>
        <v>Period Start</v>
      </c>
      <c r="F1" s="11">
        <f t="shared" si="0"/>
        <v>0</v>
      </c>
      <c r="G1" s="11" t="str">
        <f t="shared" si="0"/>
        <v>Date</v>
      </c>
      <c r="H1" s="11">
        <f t="shared" si="0"/>
        <v>0</v>
      </c>
      <c r="I1" s="11">
        <f t="shared" si="0"/>
        <v>0</v>
      </c>
      <c r="J1" s="12">
        <f t="shared" si="0"/>
        <v>45658</v>
      </c>
      <c r="K1" s="12">
        <f t="shared" si="0"/>
        <v>46023</v>
      </c>
      <c r="L1" s="12">
        <f t="shared" si="0"/>
        <v>46388</v>
      </c>
      <c r="M1" s="12">
        <f t="shared" si="0"/>
        <v>46753</v>
      </c>
      <c r="N1" s="12">
        <f t="shared" si="0"/>
        <v>47119</v>
      </c>
      <c r="O1" s="12">
        <f t="shared" si="0"/>
        <v>47484</v>
      </c>
    </row>
    <row r="2" spans="1:15" x14ac:dyDescent="0.3">
      <c r="E2" s="11" t="str">
        <f t="shared" ref="E2:O2" si="1" xml:space="preserve"> E$14</f>
        <v>Period End</v>
      </c>
      <c r="F2" s="11">
        <f t="shared" si="1"/>
        <v>0</v>
      </c>
      <c r="G2" s="11" t="str">
        <f t="shared" si="1"/>
        <v>Date</v>
      </c>
      <c r="H2" s="11">
        <f t="shared" si="1"/>
        <v>0</v>
      </c>
      <c r="I2" s="11">
        <f t="shared" si="1"/>
        <v>0</v>
      </c>
      <c r="J2" s="12">
        <f t="shared" si="1"/>
        <v>46022</v>
      </c>
      <c r="K2" s="12">
        <f t="shared" si="1"/>
        <v>46387</v>
      </c>
      <c r="L2" s="12">
        <f t="shared" si="1"/>
        <v>46752</v>
      </c>
      <c r="M2" s="12">
        <f t="shared" si="1"/>
        <v>47118</v>
      </c>
      <c r="N2" s="12">
        <f t="shared" si="1"/>
        <v>47483</v>
      </c>
      <c r="O2" s="12">
        <f t="shared" si="1"/>
        <v>47848</v>
      </c>
    </row>
    <row r="3" spans="1:15" x14ac:dyDescent="0.3">
      <c r="E3" s="11" t="str">
        <f t="shared" ref="E3:O3" si="2" xml:space="preserve"> E$15</f>
        <v>Number of Days</v>
      </c>
      <c r="F3" s="11">
        <f t="shared" si="2"/>
        <v>0</v>
      </c>
      <c r="G3" s="11" t="str">
        <f t="shared" si="2"/>
        <v>Days</v>
      </c>
      <c r="H3" s="11">
        <f t="shared" si="2"/>
        <v>0</v>
      </c>
      <c r="I3" s="11">
        <f t="shared" si="2"/>
        <v>0</v>
      </c>
      <c r="J3" s="11">
        <f t="shared" si="2"/>
        <v>365</v>
      </c>
      <c r="K3" s="11">
        <f t="shared" si="2"/>
        <v>365</v>
      </c>
      <c r="L3" s="11">
        <f t="shared" si="2"/>
        <v>365</v>
      </c>
      <c r="M3" s="11">
        <f t="shared" si="2"/>
        <v>366</v>
      </c>
      <c r="N3" s="11">
        <f t="shared" si="2"/>
        <v>365</v>
      </c>
      <c r="O3" s="11">
        <f t="shared" si="2"/>
        <v>365</v>
      </c>
    </row>
    <row r="4" spans="1:15" x14ac:dyDescent="0.3">
      <c r="E4" s="11" t="str">
        <f t="shared" ref="E4:O4" si="3" xml:space="preserve"> E$16</f>
        <v>Financial Year</v>
      </c>
      <c r="F4" s="11">
        <f t="shared" si="3"/>
        <v>0</v>
      </c>
      <c r="G4" s="11" t="str">
        <f t="shared" si="3"/>
        <v>Year</v>
      </c>
      <c r="H4" s="11">
        <f t="shared" si="3"/>
        <v>0</v>
      </c>
      <c r="I4" s="11">
        <f t="shared" si="3"/>
        <v>0</v>
      </c>
      <c r="J4" s="13">
        <f t="shared" si="3"/>
        <v>2025</v>
      </c>
      <c r="K4" s="13">
        <f t="shared" si="3"/>
        <v>2026</v>
      </c>
      <c r="L4" s="13">
        <f t="shared" si="3"/>
        <v>2027</v>
      </c>
      <c r="M4" s="13">
        <f t="shared" si="3"/>
        <v>2028</v>
      </c>
      <c r="N4" s="13">
        <f t="shared" si="3"/>
        <v>2029</v>
      </c>
      <c r="O4" s="13">
        <f t="shared" si="3"/>
        <v>2030</v>
      </c>
    </row>
    <row r="6" spans="1:15" x14ac:dyDescent="0.3">
      <c r="F6" t="s">
        <v>3</v>
      </c>
      <c r="G6" t="s">
        <v>4</v>
      </c>
      <c r="H6" t="s">
        <v>5</v>
      </c>
    </row>
    <row r="7" spans="1:15" s="1" customFormat="1" x14ac:dyDescent="0.3">
      <c r="A7" s="2" t="s">
        <v>0</v>
      </c>
      <c r="B7" s="2"/>
      <c r="C7" s="4"/>
    </row>
    <row r="9" spans="1:15" x14ac:dyDescent="0.3">
      <c r="E9" t="s">
        <v>7</v>
      </c>
      <c r="G9" t="s">
        <v>8</v>
      </c>
      <c r="J9">
        <f>I9+ 1</f>
        <v>1</v>
      </c>
      <c r="K9">
        <f t="shared" ref="K9:O9" si="4">J9+ 1</f>
        <v>2</v>
      </c>
      <c r="L9">
        <f t="shared" si="4"/>
        <v>3</v>
      </c>
      <c r="M9">
        <f t="shared" si="4"/>
        <v>4</v>
      </c>
      <c r="N9">
        <f t="shared" si="4"/>
        <v>5</v>
      </c>
      <c r="O9">
        <f t="shared" si="4"/>
        <v>6</v>
      </c>
    </row>
    <row r="11" spans="1:15" x14ac:dyDescent="0.3">
      <c r="E11" s="7" t="str">
        <f xml:space="preserve"> InpC!E$10</f>
        <v>Model Start Date</v>
      </c>
      <c r="F11" s="8">
        <f xml:space="preserve"> InpC!F$10</f>
        <v>45658</v>
      </c>
      <c r="G11" s="7" t="str">
        <f xml:space="preserve"> InpC!G$10</f>
        <v>Date</v>
      </c>
    </row>
    <row r="13" spans="1:15" x14ac:dyDescent="0.3">
      <c r="E13" t="s">
        <v>9</v>
      </c>
      <c r="G13" t="s">
        <v>6</v>
      </c>
      <c r="J13" s="9">
        <f xml:space="preserve"> IF(J9 = 1, $F11, I14 + 1)</f>
        <v>45658</v>
      </c>
      <c r="K13" s="9">
        <f t="shared" ref="K13:O13" si="5" xml:space="preserve"> IF(K9 = 1, $F11, J14 + 1)</f>
        <v>46023</v>
      </c>
      <c r="L13" s="9">
        <f t="shared" si="5"/>
        <v>46388</v>
      </c>
      <c r="M13" s="9">
        <f t="shared" si="5"/>
        <v>46753</v>
      </c>
      <c r="N13" s="9">
        <f t="shared" si="5"/>
        <v>47119</v>
      </c>
      <c r="O13" s="9">
        <f t="shared" si="5"/>
        <v>47484</v>
      </c>
    </row>
    <row r="14" spans="1:15" x14ac:dyDescent="0.3">
      <c r="E14" t="s">
        <v>10</v>
      </c>
      <c r="G14" t="s">
        <v>6</v>
      </c>
      <c r="J14" s="9">
        <f xml:space="preserve"> EOMONTH(J13, 11)</f>
        <v>46022</v>
      </c>
      <c r="K14" s="9">
        <f t="shared" ref="K14:O14" si="6" xml:space="preserve"> EOMONTH(K13, 11)</f>
        <v>46387</v>
      </c>
      <c r="L14" s="9">
        <f t="shared" si="6"/>
        <v>46752</v>
      </c>
      <c r="M14" s="9">
        <f t="shared" si="6"/>
        <v>47118</v>
      </c>
      <c r="N14" s="9">
        <f t="shared" si="6"/>
        <v>47483</v>
      </c>
      <c r="O14" s="9">
        <f t="shared" si="6"/>
        <v>47848</v>
      </c>
    </row>
    <row r="15" spans="1:15" x14ac:dyDescent="0.3">
      <c r="E15" t="s">
        <v>11</v>
      </c>
      <c r="G15" t="s">
        <v>13</v>
      </c>
      <c r="J15">
        <f xml:space="preserve"> _xlfn.DAYS(J14, J13 ) + 1</f>
        <v>365</v>
      </c>
      <c r="K15">
        <f t="shared" ref="K15:O15" si="7" xml:space="preserve"> _xlfn.DAYS(K14, K13 ) + 1</f>
        <v>365</v>
      </c>
      <c r="L15">
        <f t="shared" si="7"/>
        <v>365</v>
      </c>
      <c r="M15">
        <f t="shared" si="7"/>
        <v>366</v>
      </c>
      <c r="N15">
        <f t="shared" si="7"/>
        <v>365</v>
      </c>
      <c r="O15">
        <f t="shared" si="7"/>
        <v>365</v>
      </c>
    </row>
    <row r="16" spans="1:15" x14ac:dyDescent="0.3">
      <c r="E16" t="s">
        <v>12</v>
      </c>
      <c r="G16" t="s">
        <v>14</v>
      </c>
      <c r="J16" s="10">
        <f xml:space="preserve"> YEAR(J14)</f>
        <v>2025</v>
      </c>
      <c r="K16" s="10">
        <f t="shared" ref="K16:O16" si="8" xml:space="preserve"> YEAR(K14)</f>
        <v>2026</v>
      </c>
      <c r="L16" s="10">
        <f t="shared" si="8"/>
        <v>2027</v>
      </c>
      <c r="M16" s="10">
        <f t="shared" si="8"/>
        <v>2028</v>
      </c>
      <c r="N16" s="10">
        <f t="shared" si="8"/>
        <v>2029</v>
      </c>
      <c r="O16" s="10">
        <f t="shared" si="8"/>
        <v>2030</v>
      </c>
    </row>
    <row r="18" spans="2:15" x14ac:dyDescent="0.3">
      <c r="B18" s="3" t="s">
        <v>15</v>
      </c>
    </row>
    <row r="19" spans="2:15" x14ac:dyDescent="0.3">
      <c r="E19" s="15" t="str">
        <f xml:space="preserve"> InpC!E$13</f>
        <v>Actual Start Date</v>
      </c>
      <c r="F19" s="16">
        <f xml:space="preserve"> InpC!F$13</f>
        <v>45658</v>
      </c>
      <c r="G19" s="15" t="str">
        <f xml:space="preserve"> InpC!G$13</f>
        <v>Date</v>
      </c>
    </row>
    <row r="20" spans="2:15" x14ac:dyDescent="0.3">
      <c r="E20" s="15" t="str">
        <f xml:space="preserve"> InpC!E$14</f>
        <v>Actual End Date</v>
      </c>
      <c r="F20" s="16">
        <f xml:space="preserve"> InpC!F$14</f>
        <v>46022</v>
      </c>
      <c r="G20" s="15" t="str">
        <f xml:space="preserve"> InpC!G$14</f>
        <v>Date</v>
      </c>
    </row>
    <row r="21" spans="2:15" x14ac:dyDescent="0.3">
      <c r="E21" t="s">
        <v>18</v>
      </c>
      <c r="G21" t="s">
        <v>19</v>
      </c>
      <c r="H21">
        <f xml:space="preserve"> SUM(J21:O21)</f>
        <v>1</v>
      </c>
      <c r="J21">
        <f>IF(AND($F19&gt;=J$13, $F19&lt;=J$14), 1, 0)</f>
        <v>1</v>
      </c>
      <c r="K21">
        <f t="shared" ref="K21:O22" si="9">IF(AND($F19&gt;=K$13, $F19&lt;=K$14), 1, 0)</f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</row>
    <row r="22" spans="2:15" x14ac:dyDescent="0.3">
      <c r="E22" t="s">
        <v>20</v>
      </c>
      <c r="G22" t="s">
        <v>19</v>
      </c>
      <c r="H22">
        <f t="shared" ref="H22:H23" si="10" xml:space="preserve"> SUM(J22:O22)</f>
        <v>1</v>
      </c>
      <c r="J22">
        <f>IF(AND($F20&gt;=J$13, $F20&lt;=J$14), 1, 0)</f>
        <v>1</v>
      </c>
      <c r="K22">
        <f t="shared" si="9"/>
        <v>0</v>
      </c>
      <c r="L22">
        <f t="shared" si="9"/>
        <v>0</v>
      </c>
      <c r="M22">
        <f t="shared" si="9"/>
        <v>0</v>
      </c>
      <c r="N22">
        <f t="shared" si="9"/>
        <v>0</v>
      </c>
      <c r="O22">
        <f t="shared" si="9"/>
        <v>0</v>
      </c>
    </row>
    <row r="23" spans="2:15" x14ac:dyDescent="0.3">
      <c r="E23" t="s">
        <v>21</v>
      </c>
      <c r="G23" t="s">
        <v>19</v>
      </c>
      <c r="H23">
        <f t="shared" si="10"/>
        <v>1</v>
      </c>
      <c r="J23">
        <f>J21 +I23 - I22</f>
        <v>1</v>
      </c>
      <c r="K23">
        <f t="shared" ref="K23:O23" si="11">K21 +J23 - J22</f>
        <v>0</v>
      </c>
      <c r="L23">
        <f t="shared" si="11"/>
        <v>0</v>
      </c>
      <c r="M23">
        <f t="shared" si="11"/>
        <v>0</v>
      </c>
      <c r="N23">
        <f t="shared" si="11"/>
        <v>0</v>
      </c>
      <c r="O23">
        <f t="shared" si="11"/>
        <v>0</v>
      </c>
    </row>
    <row r="25" spans="2:15" x14ac:dyDescent="0.3">
      <c r="B25" s="3" t="s">
        <v>22</v>
      </c>
    </row>
    <row r="26" spans="2:15" x14ac:dyDescent="0.3">
      <c r="E26" s="15" t="str">
        <f xml:space="preserve"> InpC!E$17</f>
        <v>Projection Start Date</v>
      </c>
      <c r="F26" s="16">
        <f xml:space="preserve"> InpC!F$17</f>
        <v>46023</v>
      </c>
      <c r="G26" s="15" t="str">
        <f xml:space="preserve"> InpC!G$17</f>
        <v>Date</v>
      </c>
    </row>
    <row r="27" spans="2:15" x14ac:dyDescent="0.3">
      <c r="E27" s="15" t="str">
        <f xml:space="preserve"> InpC!E$18</f>
        <v>Projection End Date</v>
      </c>
      <c r="F27" s="16">
        <f xml:space="preserve"> InpC!F$18</f>
        <v>47848</v>
      </c>
      <c r="G27" s="15" t="str">
        <f xml:space="preserve"> InpC!G$18</f>
        <v>Date</v>
      </c>
    </row>
    <row r="28" spans="2:15" x14ac:dyDescent="0.3">
      <c r="E28" t="s">
        <v>25</v>
      </c>
      <c r="G28" t="s">
        <v>19</v>
      </c>
      <c r="H28">
        <f xml:space="preserve"> SUM(J28:O28)</f>
        <v>1</v>
      </c>
      <c r="J28">
        <f>IF(AND($F26&gt;=J$13, $F26&lt;=J$14), 1, 0)</f>
        <v>0</v>
      </c>
      <c r="K28">
        <f t="shared" ref="K28:O29" si="12">IF(AND($F26&gt;=K$13, $F26&lt;=K$14), 1, 0)</f>
        <v>1</v>
      </c>
      <c r="L28">
        <f t="shared" si="12"/>
        <v>0</v>
      </c>
      <c r="M28">
        <f t="shared" si="12"/>
        <v>0</v>
      </c>
      <c r="N28">
        <f t="shared" si="12"/>
        <v>0</v>
      </c>
      <c r="O28">
        <f t="shared" si="12"/>
        <v>0</v>
      </c>
    </row>
    <row r="29" spans="2:15" x14ac:dyDescent="0.3">
      <c r="E29" t="s">
        <v>26</v>
      </c>
      <c r="G29" t="s">
        <v>19</v>
      </c>
      <c r="H29">
        <f t="shared" ref="H29:H30" si="13" xml:space="preserve"> SUM(J29:O29)</f>
        <v>1</v>
      </c>
      <c r="J29">
        <f>IF(AND($F27&gt;=J$13, $F27&lt;=J$14), 1, 0)</f>
        <v>0</v>
      </c>
      <c r="K29">
        <f t="shared" si="12"/>
        <v>0</v>
      </c>
      <c r="L29">
        <f t="shared" si="12"/>
        <v>0</v>
      </c>
      <c r="M29">
        <f t="shared" si="12"/>
        <v>0</v>
      </c>
      <c r="N29">
        <f t="shared" si="12"/>
        <v>0</v>
      </c>
      <c r="O29">
        <f t="shared" si="12"/>
        <v>1</v>
      </c>
    </row>
    <row r="30" spans="2:15" x14ac:dyDescent="0.3">
      <c r="E30" t="s">
        <v>27</v>
      </c>
      <c r="G30" t="s">
        <v>19</v>
      </c>
      <c r="H30">
        <f t="shared" si="13"/>
        <v>5</v>
      </c>
      <c r="J30">
        <f>J28 +I30 - I29</f>
        <v>0</v>
      </c>
      <c r="K30">
        <f t="shared" ref="K30:O30" si="14">K28 +J30 - J29</f>
        <v>1</v>
      </c>
      <c r="L30">
        <f t="shared" si="14"/>
        <v>1</v>
      </c>
      <c r="M30">
        <f t="shared" si="14"/>
        <v>1</v>
      </c>
      <c r="N30">
        <f t="shared" si="14"/>
        <v>1</v>
      </c>
      <c r="O30">
        <f t="shared" si="14"/>
        <v>1</v>
      </c>
    </row>
    <row r="31" spans="2:15" x14ac:dyDescent="0.3">
      <c r="E31" t="s">
        <v>101</v>
      </c>
      <c r="G31" t="s">
        <v>14</v>
      </c>
      <c r="J31">
        <f>I31 + J30</f>
        <v>0</v>
      </c>
      <c r="K31">
        <f t="shared" ref="K31:O31" si="15">J31 + K30</f>
        <v>1</v>
      </c>
      <c r="L31">
        <f t="shared" si="15"/>
        <v>2</v>
      </c>
      <c r="M31">
        <f t="shared" si="15"/>
        <v>3</v>
      </c>
      <c r="N31">
        <f t="shared" si="15"/>
        <v>4</v>
      </c>
      <c r="O31">
        <f t="shared" si="15"/>
        <v>5</v>
      </c>
    </row>
    <row r="33" spans="1:15" s="1" customFormat="1" x14ac:dyDescent="0.3">
      <c r="A33" s="2" t="s">
        <v>28</v>
      </c>
      <c r="B33" s="2"/>
      <c r="C33" s="4"/>
    </row>
    <row r="35" spans="1:15" x14ac:dyDescent="0.3">
      <c r="B35" s="3" t="s">
        <v>29</v>
      </c>
    </row>
    <row r="36" spans="1:15" x14ac:dyDescent="0.3">
      <c r="E36" s="11" t="str">
        <f xml:space="preserve"> E$87</f>
        <v>Revenue</v>
      </c>
      <c r="F36" s="11">
        <f t="shared" ref="F36:O36" si="16" xml:space="preserve"> F$87</f>
        <v>0</v>
      </c>
      <c r="G36" s="11" t="str">
        <f t="shared" si="16"/>
        <v>INR Crs</v>
      </c>
      <c r="H36" s="11">
        <f t="shared" si="16"/>
        <v>0</v>
      </c>
      <c r="I36" s="11">
        <f t="shared" si="16"/>
        <v>0</v>
      </c>
      <c r="J36" s="11">
        <f t="shared" si="16"/>
        <v>1200</v>
      </c>
      <c r="K36" s="11">
        <f t="shared" si="16"/>
        <v>1320</v>
      </c>
      <c r="L36" s="11">
        <f t="shared" si="16"/>
        <v>1452.0000000000002</v>
      </c>
      <c r="M36" s="11">
        <f t="shared" si="16"/>
        <v>1597.2000000000003</v>
      </c>
      <c r="N36" s="11">
        <f t="shared" si="16"/>
        <v>1756.9200000000005</v>
      </c>
      <c r="O36" s="11">
        <f t="shared" si="16"/>
        <v>1932.6120000000008</v>
      </c>
    </row>
    <row r="37" spans="1:15" x14ac:dyDescent="0.3">
      <c r="E37" t="s">
        <v>43</v>
      </c>
      <c r="G37" t="s">
        <v>33</v>
      </c>
      <c r="J37">
        <f t="shared" ref="J37:O37" si="17" xml:space="preserve"> J36 - J38</f>
        <v>864</v>
      </c>
      <c r="K37">
        <f t="shared" si="17"/>
        <v>937.2</v>
      </c>
      <c r="L37">
        <f t="shared" si="17"/>
        <v>1016.4000000000001</v>
      </c>
      <c r="M37">
        <f t="shared" si="17"/>
        <v>1118.0400000000002</v>
      </c>
      <c r="N37">
        <f t="shared" si="17"/>
        <v>1229.8440000000005</v>
      </c>
      <c r="O37">
        <f t="shared" si="17"/>
        <v>1352.8284000000006</v>
      </c>
    </row>
    <row r="38" spans="1:15" s="21" customFormat="1" x14ac:dyDescent="0.3">
      <c r="C38" s="23"/>
      <c r="E38" s="24" t="str">
        <f xml:space="preserve"> E$93</f>
        <v xml:space="preserve">EBITDA </v>
      </c>
      <c r="F38" s="24">
        <f t="shared" ref="F38:O38" si="18" xml:space="preserve"> F$93</f>
        <v>0</v>
      </c>
      <c r="G38" s="24" t="str">
        <f t="shared" si="18"/>
        <v>INR Crs</v>
      </c>
      <c r="H38" s="24">
        <f t="shared" si="18"/>
        <v>0</v>
      </c>
      <c r="I38" s="24">
        <f t="shared" si="18"/>
        <v>0</v>
      </c>
      <c r="J38" s="24">
        <f t="shared" si="18"/>
        <v>336.00000000000006</v>
      </c>
      <c r="K38" s="24">
        <f t="shared" si="18"/>
        <v>382.79999999999995</v>
      </c>
      <c r="L38" s="24">
        <f t="shared" si="18"/>
        <v>435.60000000000008</v>
      </c>
      <c r="M38" s="24">
        <f t="shared" si="18"/>
        <v>479.16000000000008</v>
      </c>
      <c r="N38" s="24">
        <f t="shared" si="18"/>
        <v>527.07600000000014</v>
      </c>
      <c r="O38" s="24">
        <f t="shared" si="18"/>
        <v>579.78360000000021</v>
      </c>
    </row>
    <row r="40" spans="1:15" x14ac:dyDescent="0.3">
      <c r="E40" s="11" t="str">
        <f xml:space="preserve"> E$98</f>
        <v>Depreciation</v>
      </c>
      <c r="F40" s="11">
        <f t="shared" ref="F40:O40" si="19" xml:space="preserve"> F$98</f>
        <v>0</v>
      </c>
      <c r="G40" s="11" t="str">
        <f t="shared" si="19"/>
        <v>INR Crs</v>
      </c>
      <c r="H40" s="11">
        <f t="shared" si="19"/>
        <v>0</v>
      </c>
      <c r="I40" s="11">
        <f t="shared" si="19"/>
        <v>0</v>
      </c>
      <c r="J40" s="11">
        <f t="shared" si="19"/>
        <v>60</v>
      </c>
      <c r="K40" s="11">
        <f t="shared" si="19"/>
        <v>66</v>
      </c>
      <c r="L40" s="11">
        <f t="shared" si="19"/>
        <v>72.600000000000009</v>
      </c>
      <c r="M40" s="11">
        <f t="shared" si="19"/>
        <v>79.860000000000014</v>
      </c>
      <c r="N40" s="11">
        <f t="shared" si="19"/>
        <v>87.846000000000032</v>
      </c>
      <c r="O40" s="11">
        <f t="shared" si="19"/>
        <v>96.630600000000044</v>
      </c>
    </row>
    <row r="41" spans="1:15" s="21" customFormat="1" x14ac:dyDescent="0.3">
      <c r="C41" s="23"/>
      <c r="E41" s="21" t="s">
        <v>44</v>
      </c>
      <c r="G41" s="21" t="s">
        <v>33</v>
      </c>
      <c r="J41" s="21">
        <f>J38 - J40</f>
        <v>276.00000000000006</v>
      </c>
      <c r="K41" s="21">
        <f t="shared" ref="K41:O41" si="20">K38 - K40</f>
        <v>316.79999999999995</v>
      </c>
      <c r="L41" s="21">
        <f t="shared" si="20"/>
        <v>363.00000000000006</v>
      </c>
      <c r="M41" s="21">
        <f t="shared" si="20"/>
        <v>399.30000000000007</v>
      </c>
      <c r="N41" s="21">
        <f t="shared" si="20"/>
        <v>439.23000000000013</v>
      </c>
      <c r="O41" s="21">
        <f t="shared" si="20"/>
        <v>483.15300000000013</v>
      </c>
    </row>
    <row r="43" spans="1:15" x14ac:dyDescent="0.3">
      <c r="E43" s="11" t="str">
        <f xml:space="preserve"> E$111</f>
        <v>Interest Expense</v>
      </c>
      <c r="F43" s="11">
        <f t="shared" ref="F43:O43" si="21" xml:space="preserve"> F$111</f>
        <v>0</v>
      </c>
      <c r="G43" s="11" t="str">
        <f t="shared" si="21"/>
        <v>INR Crs</v>
      </c>
      <c r="H43" s="11">
        <f t="shared" si="21"/>
        <v>0</v>
      </c>
      <c r="I43" s="11">
        <f t="shared" si="21"/>
        <v>0</v>
      </c>
      <c r="J43" s="11">
        <f t="shared" si="21"/>
        <v>0</v>
      </c>
      <c r="K43" s="11">
        <f t="shared" si="21"/>
        <v>44</v>
      </c>
      <c r="L43" s="11">
        <f t="shared" si="21"/>
        <v>44</v>
      </c>
      <c r="M43" s="11">
        <f t="shared" si="21"/>
        <v>44</v>
      </c>
      <c r="N43" s="11">
        <f t="shared" si="21"/>
        <v>44</v>
      </c>
      <c r="O43" s="11">
        <f t="shared" si="21"/>
        <v>44</v>
      </c>
    </row>
    <row r="44" spans="1:15" s="21" customFormat="1" x14ac:dyDescent="0.3">
      <c r="C44" s="23"/>
      <c r="E44" s="24" t="s">
        <v>66</v>
      </c>
      <c r="F44" s="24"/>
      <c r="G44" s="24" t="s">
        <v>33</v>
      </c>
      <c r="H44" s="24"/>
      <c r="I44" s="24"/>
      <c r="J44" s="24">
        <f>J41 - J43</f>
        <v>276.00000000000006</v>
      </c>
      <c r="K44" s="24">
        <f t="shared" ref="K44:O44" si="22">K41 - K43</f>
        <v>272.79999999999995</v>
      </c>
      <c r="L44" s="24">
        <f t="shared" si="22"/>
        <v>319.00000000000006</v>
      </c>
      <c r="M44" s="24">
        <f t="shared" si="22"/>
        <v>355.30000000000007</v>
      </c>
      <c r="N44" s="24">
        <f t="shared" si="22"/>
        <v>395.23000000000013</v>
      </c>
      <c r="O44" s="24">
        <f t="shared" si="22"/>
        <v>439.15300000000013</v>
      </c>
    </row>
    <row r="45" spans="1:15" x14ac:dyDescent="0.3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3">
      <c r="E46" s="11" t="str">
        <f xml:space="preserve"> E$117</f>
        <v>Tax Expense</v>
      </c>
      <c r="F46" s="11">
        <f t="shared" ref="F46:O46" si="23" xml:space="preserve"> F$117</f>
        <v>0</v>
      </c>
      <c r="G46" s="11" t="str">
        <f t="shared" si="23"/>
        <v>INR Crs</v>
      </c>
      <c r="H46" s="11">
        <f t="shared" si="23"/>
        <v>0</v>
      </c>
      <c r="I46" s="11">
        <f t="shared" si="23"/>
        <v>0</v>
      </c>
      <c r="J46" s="25">
        <v>96</v>
      </c>
      <c r="K46" s="11">
        <f t="shared" si="23"/>
        <v>68.199999999999989</v>
      </c>
      <c r="L46" s="11">
        <f t="shared" si="23"/>
        <v>79.750000000000014</v>
      </c>
      <c r="M46" s="11">
        <f t="shared" si="23"/>
        <v>88.825000000000017</v>
      </c>
      <c r="N46" s="11">
        <f t="shared" si="23"/>
        <v>98.807500000000033</v>
      </c>
      <c r="O46" s="11">
        <f t="shared" si="23"/>
        <v>109.78825000000003</v>
      </c>
    </row>
    <row r="47" spans="1:15" s="21" customFormat="1" x14ac:dyDescent="0.3">
      <c r="C47" s="23"/>
      <c r="E47" s="24" t="s">
        <v>70</v>
      </c>
      <c r="F47" s="24"/>
      <c r="G47" s="24" t="s">
        <v>33</v>
      </c>
      <c r="H47" s="24"/>
      <c r="I47" s="24"/>
      <c r="J47" s="24">
        <f>J44 - J46</f>
        <v>180.00000000000006</v>
      </c>
      <c r="K47" s="24">
        <f t="shared" ref="K47:O47" si="24">K44 - K46</f>
        <v>204.59999999999997</v>
      </c>
      <c r="L47" s="24">
        <f t="shared" si="24"/>
        <v>239.25000000000006</v>
      </c>
      <c r="M47" s="24">
        <f t="shared" si="24"/>
        <v>266.47500000000002</v>
      </c>
      <c r="N47" s="24">
        <f t="shared" si="24"/>
        <v>296.42250000000013</v>
      </c>
      <c r="O47" s="24">
        <f t="shared" si="24"/>
        <v>329.36475000000007</v>
      </c>
    </row>
    <row r="48" spans="1:15" x14ac:dyDescent="0.3"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3">
      <c r="B49" s="3" t="s">
        <v>46</v>
      </c>
    </row>
    <row r="50" spans="1:15" x14ac:dyDescent="0.3">
      <c r="C50" s="5" t="s">
        <v>51</v>
      </c>
    </row>
    <row r="51" spans="1:15" x14ac:dyDescent="0.3">
      <c r="E51" t="s">
        <v>47</v>
      </c>
      <c r="G51" t="s">
        <v>33</v>
      </c>
      <c r="J51" s="6">
        <v>950</v>
      </c>
      <c r="K51" s="11">
        <f xml:space="preserve"> K$129</f>
        <v>1016</v>
      </c>
      <c r="L51" s="11">
        <f t="shared" ref="L51:O51" si="25" xml:space="preserve"> L$129</f>
        <v>1088.6000000000001</v>
      </c>
      <c r="M51" s="11">
        <f t="shared" si="25"/>
        <v>1168.46</v>
      </c>
      <c r="N51" s="11">
        <f t="shared" si="25"/>
        <v>1256.306</v>
      </c>
      <c r="O51" s="11">
        <f t="shared" si="25"/>
        <v>1352.9366000000002</v>
      </c>
    </row>
    <row r="52" spans="1:15" x14ac:dyDescent="0.3">
      <c r="E52" t="s">
        <v>48</v>
      </c>
      <c r="G52" t="s">
        <v>33</v>
      </c>
      <c r="J52" s="6">
        <v>480</v>
      </c>
      <c r="K52">
        <f>J52</f>
        <v>480</v>
      </c>
      <c r="L52">
        <f t="shared" ref="L52:O52" si="26">K52</f>
        <v>480</v>
      </c>
      <c r="M52">
        <f t="shared" si="26"/>
        <v>480</v>
      </c>
      <c r="N52">
        <f t="shared" si="26"/>
        <v>480</v>
      </c>
      <c r="O52">
        <f t="shared" si="26"/>
        <v>480</v>
      </c>
    </row>
    <row r="53" spans="1:15" x14ac:dyDescent="0.3">
      <c r="E53" t="s">
        <v>49</v>
      </c>
      <c r="G53" t="s">
        <v>33</v>
      </c>
      <c r="J53" s="6">
        <v>120</v>
      </c>
      <c r="K53" s="11">
        <f xml:space="preserve"> K$78</f>
        <v>258.59999999999997</v>
      </c>
      <c r="L53" s="11">
        <f t="shared" ref="L53:O53" si="27" xml:space="preserve"> L$78</f>
        <v>425.25</v>
      </c>
      <c r="M53" s="11">
        <f t="shared" si="27"/>
        <v>611.86500000000001</v>
      </c>
      <c r="N53" s="11">
        <f t="shared" si="27"/>
        <v>820.44150000000013</v>
      </c>
      <c r="O53" s="11">
        <f t="shared" si="27"/>
        <v>1053.1756500000001</v>
      </c>
    </row>
    <row r="54" spans="1:15" s="20" customFormat="1" x14ac:dyDescent="0.3">
      <c r="A54" s="21"/>
      <c r="B54" s="21"/>
      <c r="C54" s="22"/>
      <c r="E54" s="21" t="s">
        <v>50</v>
      </c>
      <c r="F54" s="21"/>
      <c r="G54" s="21" t="s">
        <v>33</v>
      </c>
      <c r="H54" s="21"/>
      <c r="I54" s="21"/>
      <c r="J54" s="21">
        <f>SUM(J51:J53)</f>
        <v>1550</v>
      </c>
      <c r="K54" s="21">
        <f t="shared" ref="K54:O54" si="28">SUM(K51:K53)</f>
        <v>1754.6</v>
      </c>
      <c r="L54" s="21">
        <f t="shared" si="28"/>
        <v>1993.8500000000001</v>
      </c>
      <c r="M54" s="21">
        <f t="shared" si="28"/>
        <v>2260.3249999999998</v>
      </c>
      <c r="N54" s="21">
        <f t="shared" si="28"/>
        <v>2556.7475000000004</v>
      </c>
      <c r="O54" s="21">
        <f t="shared" si="28"/>
        <v>2886.1122500000001</v>
      </c>
    </row>
    <row r="56" spans="1:15" x14ac:dyDescent="0.3">
      <c r="C56" s="5" t="s">
        <v>52</v>
      </c>
    </row>
    <row r="57" spans="1:15" x14ac:dyDescent="0.3">
      <c r="E57" t="s">
        <v>53</v>
      </c>
      <c r="G57" t="s">
        <v>33</v>
      </c>
      <c r="J57" s="6">
        <v>700</v>
      </c>
      <c r="K57" s="11">
        <f xml:space="preserve"> K$141</f>
        <v>904.59999999999991</v>
      </c>
      <c r="L57" s="11">
        <f t="shared" ref="L57:O57" si="29" xml:space="preserve"> L$141</f>
        <v>1143.8499999999999</v>
      </c>
      <c r="M57" s="11">
        <f t="shared" si="29"/>
        <v>1410.3249999999998</v>
      </c>
      <c r="N57" s="11">
        <f t="shared" si="29"/>
        <v>1706.7474999999999</v>
      </c>
      <c r="O57" s="11">
        <f t="shared" si="29"/>
        <v>2036.1122500000001</v>
      </c>
    </row>
    <row r="58" spans="1:15" x14ac:dyDescent="0.3">
      <c r="E58" t="s">
        <v>54</v>
      </c>
      <c r="G58" t="s">
        <v>33</v>
      </c>
      <c r="J58" s="6">
        <v>400</v>
      </c>
      <c r="K58" s="11">
        <f xml:space="preserve"> K$108</f>
        <v>400</v>
      </c>
      <c r="L58" s="11">
        <f t="shared" ref="L58:O58" si="30" xml:space="preserve"> L$108</f>
        <v>400</v>
      </c>
      <c r="M58" s="11">
        <f t="shared" si="30"/>
        <v>400</v>
      </c>
      <c r="N58" s="11">
        <f t="shared" si="30"/>
        <v>400</v>
      </c>
      <c r="O58" s="11">
        <f t="shared" si="30"/>
        <v>400</v>
      </c>
    </row>
    <row r="59" spans="1:15" x14ac:dyDescent="0.3">
      <c r="E59" t="s">
        <v>55</v>
      </c>
      <c r="G59" t="s">
        <v>33</v>
      </c>
      <c r="J59" s="6">
        <v>450</v>
      </c>
      <c r="K59">
        <f>J59</f>
        <v>450</v>
      </c>
      <c r="L59">
        <f t="shared" ref="L59:O59" si="31">K59</f>
        <v>450</v>
      </c>
      <c r="M59">
        <f t="shared" si="31"/>
        <v>450</v>
      </c>
      <c r="N59">
        <f t="shared" si="31"/>
        <v>450</v>
      </c>
      <c r="O59">
        <f t="shared" si="31"/>
        <v>450</v>
      </c>
    </row>
    <row r="60" spans="1:15" s="21" customFormat="1" x14ac:dyDescent="0.3">
      <c r="C60" s="23"/>
      <c r="E60" s="21" t="s">
        <v>56</v>
      </c>
      <c r="G60" s="21" t="s">
        <v>33</v>
      </c>
      <c r="J60" s="21">
        <f t="shared" ref="J60:O60" si="32">SUM(J57:J59)</f>
        <v>1550</v>
      </c>
      <c r="K60" s="21">
        <f t="shared" si="32"/>
        <v>1754.6</v>
      </c>
      <c r="L60" s="21">
        <f t="shared" si="32"/>
        <v>1993.85</v>
      </c>
      <c r="M60" s="21">
        <f t="shared" si="32"/>
        <v>2260.3249999999998</v>
      </c>
      <c r="N60" s="21">
        <f t="shared" si="32"/>
        <v>2556.7474999999999</v>
      </c>
      <c r="O60" s="21">
        <f t="shared" si="32"/>
        <v>2886.1122500000001</v>
      </c>
    </row>
    <row r="62" spans="1:15" x14ac:dyDescent="0.3">
      <c r="E62" t="s">
        <v>57</v>
      </c>
      <c r="J62">
        <f t="shared" ref="J62:O62" si="33" xml:space="preserve"> ROUND(J54 - J60, 0)</f>
        <v>0</v>
      </c>
      <c r="K62">
        <f t="shared" si="33"/>
        <v>0</v>
      </c>
      <c r="L62">
        <f t="shared" si="33"/>
        <v>0</v>
      </c>
      <c r="M62">
        <f t="shared" si="33"/>
        <v>0</v>
      </c>
      <c r="N62">
        <f t="shared" si="33"/>
        <v>0</v>
      </c>
      <c r="O62">
        <f t="shared" si="33"/>
        <v>0</v>
      </c>
    </row>
    <row r="64" spans="1:15" x14ac:dyDescent="0.3">
      <c r="B64" s="3" t="s">
        <v>58</v>
      </c>
    </row>
    <row r="65" spans="1:15" x14ac:dyDescent="0.3">
      <c r="E65" s="11" t="str">
        <f xml:space="preserve"> E$47</f>
        <v>Profit After Tax</v>
      </c>
      <c r="F65" s="11">
        <f t="shared" ref="F65:I65" si="34" xml:space="preserve"> F$47</f>
        <v>0</v>
      </c>
      <c r="G65" s="11" t="str">
        <f t="shared" si="34"/>
        <v>INR Crs</v>
      </c>
      <c r="H65" s="11">
        <f t="shared" si="34"/>
        <v>0</v>
      </c>
      <c r="I65" s="11">
        <f t="shared" si="34"/>
        <v>0</v>
      </c>
      <c r="J65" s="11">
        <f xml:space="preserve"> J$47 * J$30</f>
        <v>0</v>
      </c>
      <c r="K65" s="11">
        <f t="shared" ref="K65:O65" si="35" xml:space="preserve"> K$47 * K$30</f>
        <v>204.59999999999997</v>
      </c>
      <c r="L65" s="11">
        <f t="shared" si="35"/>
        <v>239.25000000000006</v>
      </c>
      <c r="M65" s="11">
        <f t="shared" si="35"/>
        <v>266.47500000000002</v>
      </c>
      <c r="N65" s="11">
        <f t="shared" si="35"/>
        <v>296.42250000000013</v>
      </c>
      <c r="O65" s="11">
        <f t="shared" si="35"/>
        <v>329.36475000000007</v>
      </c>
    </row>
    <row r="66" spans="1:15" x14ac:dyDescent="0.3">
      <c r="E66" s="11" t="str">
        <f xml:space="preserve"> E$40</f>
        <v>Depreciation</v>
      </c>
      <c r="F66" s="11">
        <f t="shared" ref="F66:I66" si="36" xml:space="preserve"> F$40</f>
        <v>0</v>
      </c>
      <c r="G66" s="11" t="str">
        <f t="shared" si="36"/>
        <v>INR Crs</v>
      </c>
      <c r="H66" s="11">
        <f t="shared" si="36"/>
        <v>0</v>
      </c>
      <c r="I66" s="11">
        <f t="shared" si="36"/>
        <v>0</v>
      </c>
      <c r="J66" s="11">
        <f xml:space="preserve"> J$40  * J$30</f>
        <v>0</v>
      </c>
      <c r="K66" s="11">
        <f t="shared" ref="K66:O66" si="37" xml:space="preserve"> K$40  * K$30</f>
        <v>66</v>
      </c>
      <c r="L66" s="11">
        <f t="shared" si="37"/>
        <v>72.600000000000009</v>
      </c>
      <c r="M66" s="11">
        <f t="shared" si="37"/>
        <v>79.860000000000014</v>
      </c>
      <c r="N66" s="11">
        <f t="shared" si="37"/>
        <v>87.846000000000032</v>
      </c>
      <c r="O66" s="11">
        <f t="shared" si="37"/>
        <v>96.630600000000044</v>
      </c>
    </row>
    <row r="67" spans="1:15" x14ac:dyDescent="0.3">
      <c r="E67" t="s">
        <v>81</v>
      </c>
      <c r="G67" t="s">
        <v>33</v>
      </c>
      <c r="J67" s="11">
        <f>(I52 - J52)* J$30</f>
        <v>0</v>
      </c>
      <c r="K67" s="11">
        <f t="shared" ref="K67:O67" si="38">(J52 - K52)* K$30</f>
        <v>0</v>
      </c>
      <c r="L67" s="11">
        <f t="shared" si="38"/>
        <v>0</v>
      </c>
      <c r="M67" s="11">
        <f t="shared" si="38"/>
        <v>0</v>
      </c>
      <c r="N67" s="11">
        <f t="shared" si="38"/>
        <v>0</v>
      </c>
      <c r="O67" s="11">
        <f t="shared" si="38"/>
        <v>0</v>
      </c>
    </row>
    <row r="68" spans="1:15" s="20" customFormat="1" x14ac:dyDescent="0.3">
      <c r="A68" s="21"/>
      <c r="B68" s="21"/>
      <c r="C68" s="22"/>
      <c r="E68" s="20" t="s">
        <v>82</v>
      </c>
      <c r="G68" s="20" t="s">
        <v>33</v>
      </c>
      <c r="J68" s="20">
        <f>SUM(J65:J67)</f>
        <v>0</v>
      </c>
      <c r="K68" s="20">
        <f t="shared" ref="K68:O68" si="39">SUM(K65:K67)</f>
        <v>270.59999999999997</v>
      </c>
      <c r="L68" s="20">
        <f t="shared" si="39"/>
        <v>311.85000000000008</v>
      </c>
      <c r="M68" s="20">
        <f t="shared" si="39"/>
        <v>346.33500000000004</v>
      </c>
      <c r="N68" s="20">
        <f t="shared" si="39"/>
        <v>384.26850000000013</v>
      </c>
      <c r="O68" s="20">
        <f t="shared" si="39"/>
        <v>425.99535000000014</v>
      </c>
    </row>
    <row r="70" spans="1:15" x14ac:dyDescent="0.3">
      <c r="E70" t="s">
        <v>71</v>
      </c>
      <c r="G70" t="s">
        <v>33</v>
      </c>
      <c r="J70" s="11">
        <f>-1* J$127</f>
        <v>0</v>
      </c>
      <c r="K70" s="11">
        <f>-1* K$127</f>
        <v>-132</v>
      </c>
      <c r="L70" s="11">
        <f t="shared" ref="L70:O70" si="40">-1* L$127</f>
        <v>-145.20000000000002</v>
      </c>
      <c r="M70" s="11">
        <f t="shared" si="40"/>
        <v>-159.72000000000003</v>
      </c>
      <c r="N70" s="11">
        <f t="shared" si="40"/>
        <v>-175.69200000000006</v>
      </c>
      <c r="O70" s="11">
        <f t="shared" si="40"/>
        <v>-193.26120000000009</v>
      </c>
    </row>
    <row r="71" spans="1:15" s="20" customFormat="1" ht="12.5" x14ac:dyDescent="0.25">
      <c r="C71" s="22"/>
      <c r="E71" s="20" t="s">
        <v>83</v>
      </c>
      <c r="G71" s="20" t="s">
        <v>33</v>
      </c>
      <c r="J71" s="20">
        <f>SUM(J70)</f>
        <v>0</v>
      </c>
      <c r="K71" s="20">
        <f t="shared" ref="K71:O71" si="41">SUM(K70)</f>
        <v>-132</v>
      </c>
      <c r="L71" s="20">
        <f t="shared" si="41"/>
        <v>-145.20000000000002</v>
      </c>
      <c r="M71" s="20">
        <f t="shared" si="41"/>
        <v>-159.72000000000003</v>
      </c>
      <c r="N71" s="20">
        <f t="shared" si="41"/>
        <v>-175.69200000000006</v>
      </c>
      <c r="O71" s="20">
        <f t="shared" si="41"/>
        <v>-193.26120000000009</v>
      </c>
    </row>
    <row r="73" spans="1:15" s="1" customFormat="1" x14ac:dyDescent="0.3">
      <c r="A73" s="2"/>
      <c r="B73" s="2"/>
      <c r="C73" s="4"/>
    </row>
    <row r="74" spans="1:15" s="20" customFormat="1" x14ac:dyDescent="0.3">
      <c r="A74" s="21"/>
      <c r="B74" s="21"/>
      <c r="C74" s="22"/>
      <c r="E74" s="20" t="s">
        <v>84</v>
      </c>
      <c r="G74" s="20" t="s">
        <v>33</v>
      </c>
      <c r="J74" s="20">
        <f>SUM(J73)</f>
        <v>0</v>
      </c>
      <c r="K74" s="20">
        <f t="shared" ref="K74:O74" si="42">SUM(K73)</f>
        <v>0</v>
      </c>
      <c r="L74" s="20">
        <f t="shared" si="42"/>
        <v>0</v>
      </c>
      <c r="M74" s="20">
        <f t="shared" si="42"/>
        <v>0</v>
      </c>
      <c r="N74" s="20">
        <f t="shared" si="42"/>
        <v>0</v>
      </c>
      <c r="O74" s="20">
        <f t="shared" si="42"/>
        <v>0</v>
      </c>
    </row>
    <row r="76" spans="1:15" x14ac:dyDescent="0.3">
      <c r="E76" t="s">
        <v>85</v>
      </c>
      <c r="G76" t="s">
        <v>33</v>
      </c>
      <c r="J76" s="1"/>
      <c r="K76">
        <f>J78</f>
        <v>120</v>
      </c>
      <c r="L76">
        <f t="shared" ref="L76:O76" si="43">K78</f>
        <v>258.59999999999997</v>
      </c>
      <c r="M76">
        <f t="shared" si="43"/>
        <v>425.25</v>
      </c>
      <c r="N76">
        <f t="shared" si="43"/>
        <v>611.86500000000001</v>
      </c>
      <c r="O76">
        <f t="shared" si="43"/>
        <v>820.44150000000013</v>
      </c>
    </row>
    <row r="77" spans="1:15" x14ac:dyDescent="0.3">
      <c r="E77" t="s">
        <v>86</v>
      </c>
      <c r="G77" t="s">
        <v>33</v>
      </c>
      <c r="J77" s="1"/>
      <c r="K77">
        <f>K68 +K71 + K74</f>
        <v>138.59999999999997</v>
      </c>
      <c r="L77">
        <f t="shared" ref="L77:O77" si="44">L68 +L71 + L74</f>
        <v>166.65000000000006</v>
      </c>
      <c r="M77">
        <f t="shared" si="44"/>
        <v>186.61500000000001</v>
      </c>
      <c r="N77">
        <f t="shared" si="44"/>
        <v>208.57650000000007</v>
      </c>
      <c r="O77">
        <f t="shared" si="44"/>
        <v>232.73415000000006</v>
      </c>
    </row>
    <row r="78" spans="1:15" s="20" customFormat="1" x14ac:dyDescent="0.3">
      <c r="A78" s="21"/>
      <c r="B78" s="21"/>
      <c r="C78" s="22"/>
      <c r="E78" s="20" t="s">
        <v>87</v>
      </c>
      <c r="G78" s="20" t="s">
        <v>33</v>
      </c>
      <c r="J78" s="20">
        <f>J53</f>
        <v>120</v>
      </c>
      <c r="K78" s="20">
        <f>SUM(K76:K77)</f>
        <v>258.59999999999997</v>
      </c>
      <c r="L78" s="20">
        <f t="shared" ref="L78:O78" si="45">SUM(L76:L77)</f>
        <v>425.25</v>
      </c>
      <c r="M78" s="20">
        <f t="shared" si="45"/>
        <v>611.86500000000001</v>
      </c>
      <c r="N78" s="20">
        <f t="shared" si="45"/>
        <v>820.44150000000013</v>
      </c>
      <c r="O78" s="20">
        <f t="shared" si="45"/>
        <v>1053.1756500000001</v>
      </c>
    </row>
    <row r="80" spans="1:15" s="1" customFormat="1" x14ac:dyDescent="0.3">
      <c r="A80" s="2" t="s">
        <v>42</v>
      </c>
      <c r="B80" s="2"/>
      <c r="C80" s="4"/>
    </row>
    <row r="82" spans="3:15" x14ac:dyDescent="0.3">
      <c r="C82" s="5" t="s">
        <v>30</v>
      </c>
    </row>
    <row r="83" spans="3:15" x14ac:dyDescent="0.3">
      <c r="E83" s="15" t="str">
        <f xml:space="preserve"> InpC!E$44</f>
        <v>Revenue</v>
      </c>
      <c r="F83" s="15">
        <f xml:space="preserve"> InpC!F$44</f>
        <v>1200</v>
      </c>
      <c r="G83" s="15" t="str">
        <f xml:space="preserve"> InpC!G$44</f>
        <v>INR Crs</v>
      </c>
    </row>
    <row r="84" spans="3:15" x14ac:dyDescent="0.3">
      <c r="E84" s="15" t="str">
        <f xml:space="preserve"> InpC!E$45</f>
        <v>Revenue Growth Rate</v>
      </c>
      <c r="F84" s="19">
        <f xml:space="preserve"> InpC!F$45</f>
        <v>0.1</v>
      </c>
      <c r="G84" s="15" t="str">
        <f xml:space="preserve"> InpC!G$45</f>
        <v>%</v>
      </c>
    </row>
    <row r="85" spans="3:15" x14ac:dyDescent="0.3">
      <c r="E85" s="11" t="str">
        <f xml:space="preserve"> E$23</f>
        <v>Actuals Active</v>
      </c>
      <c r="F85" s="11">
        <f t="shared" ref="F85:O85" si="46" xml:space="preserve"> F$23</f>
        <v>0</v>
      </c>
      <c r="G85" s="11" t="str">
        <f t="shared" si="46"/>
        <v>Flag</v>
      </c>
      <c r="H85" s="11">
        <f t="shared" si="46"/>
        <v>1</v>
      </c>
      <c r="I85" s="11">
        <f t="shared" si="46"/>
        <v>0</v>
      </c>
      <c r="J85" s="11">
        <f t="shared" si="46"/>
        <v>1</v>
      </c>
      <c r="K85" s="11">
        <f t="shared" si="46"/>
        <v>0</v>
      </c>
      <c r="L85" s="11">
        <f t="shared" si="46"/>
        <v>0</v>
      </c>
      <c r="M85" s="11">
        <f t="shared" si="46"/>
        <v>0</v>
      </c>
      <c r="N85" s="11">
        <f t="shared" si="46"/>
        <v>0</v>
      </c>
      <c r="O85" s="11">
        <f t="shared" si="46"/>
        <v>0</v>
      </c>
    </row>
    <row r="86" spans="3:15" x14ac:dyDescent="0.3">
      <c r="E86" s="11" t="str">
        <f xml:space="preserve"> E$30</f>
        <v>Projections Active</v>
      </c>
      <c r="F86" s="11">
        <f t="shared" ref="F86:O86" si="47" xml:space="preserve"> F$30</f>
        <v>0</v>
      </c>
      <c r="G86" s="11" t="str">
        <f t="shared" si="47"/>
        <v>Flag</v>
      </c>
      <c r="H86" s="11">
        <f t="shared" si="47"/>
        <v>5</v>
      </c>
      <c r="I86" s="11">
        <f t="shared" si="47"/>
        <v>0</v>
      </c>
      <c r="J86" s="11">
        <f t="shared" si="47"/>
        <v>0</v>
      </c>
      <c r="K86" s="11">
        <f t="shared" si="47"/>
        <v>1</v>
      </c>
      <c r="L86" s="11">
        <f t="shared" si="47"/>
        <v>1</v>
      </c>
      <c r="M86" s="11">
        <f t="shared" si="47"/>
        <v>1</v>
      </c>
      <c r="N86" s="11">
        <f t="shared" si="47"/>
        <v>1</v>
      </c>
      <c r="O86" s="11">
        <f t="shared" si="47"/>
        <v>1</v>
      </c>
    </row>
    <row r="87" spans="3:15" x14ac:dyDescent="0.3">
      <c r="E87" t="s">
        <v>30</v>
      </c>
      <c r="G87" t="s">
        <v>33</v>
      </c>
      <c r="J87">
        <f>IF(J85=1,$F83,IF(J86=1,I87*(1+J88),0))</f>
        <v>1200</v>
      </c>
      <c r="K87">
        <f t="shared" ref="K87:O87" si="48">IF(K85=1,$F83,IF(K86=1,J87*(1+K88),0))</f>
        <v>1320</v>
      </c>
      <c r="L87">
        <f t="shared" si="48"/>
        <v>1452.0000000000002</v>
      </c>
      <c r="M87">
        <f t="shared" si="48"/>
        <v>1597.2000000000003</v>
      </c>
      <c r="N87">
        <f t="shared" si="48"/>
        <v>1756.9200000000005</v>
      </c>
      <c r="O87">
        <f t="shared" si="48"/>
        <v>1932.6120000000008</v>
      </c>
    </row>
    <row r="88" spans="3:15" x14ac:dyDescent="0.3">
      <c r="E88" t="s">
        <v>35</v>
      </c>
      <c r="G88" t="s">
        <v>36</v>
      </c>
      <c r="J88" s="18">
        <f>IF(J86=1, $F84, 0)</f>
        <v>0</v>
      </c>
      <c r="K88" s="18">
        <f t="shared" ref="K88:O88" si="49">IF(K86=1, $F84, 0)</f>
        <v>0.1</v>
      </c>
      <c r="L88" s="18">
        <f t="shared" si="49"/>
        <v>0.1</v>
      </c>
      <c r="M88" s="18">
        <f t="shared" si="49"/>
        <v>0.1</v>
      </c>
      <c r="N88" s="18">
        <f t="shared" si="49"/>
        <v>0.1</v>
      </c>
      <c r="O88" s="18">
        <f t="shared" si="49"/>
        <v>0.1</v>
      </c>
    </row>
    <row r="90" spans="3:15" x14ac:dyDescent="0.3">
      <c r="C90" s="5" t="s">
        <v>40</v>
      </c>
    </row>
    <row r="91" spans="3:15" x14ac:dyDescent="0.3">
      <c r="E91" s="11" t="str">
        <f xml:space="preserve"> E$87</f>
        <v>Revenue</v>
      </c>
      <c r="F91" s="11">
        <f t="shared" ref="F91:O91" si="50" xml:space="preserve"> F$87</f>
        <v>0</v>
      </c>
      <c r="G91" s="11" t="str">
        <f t="shared" si="50"/>
        <v>INR Crs</v>
      </c>
      <c r="H91" s="11">
        <f t="shared" si="50"/>
        <v>0</v>
      </c>
      <c r="I91" s="11">
        <f t="shared" si="50"/>
        <v>0</v>
      </c>
      <c r="J91" s="11">
        <f t="shared" si="50"/>
        <v>1200</v>
      </c>
      <c r="K91" s="11">
        <f t="shared" si="50"/>
        <v>1320</v>
      </c>
      <c r="L91" s="11">
        <f t="shared" si="50"/>
        <v>1452.0000000000002</v>
      </c>
      <c r="M91" s="11">
        <f t="shared" si="50"/>
        <v>1597.2000000000003</v>
      </c>
      <c r="N91" s="11">
        <f t="shared" si="50"/>
        <v>1756.9200000000005</v>
      </c>
      <c r="O91" s="11">
        <f t="shared" si="50"/>
        <v>1932.6120000000008</v>
      </c>
    </row>
    <row r="92" spans="3:15" x14ac:dyDescent="0.3">
      <c r="E92" s="11" t="s">
        <v>34</v>
      </c>
      <c r="F92" s="11"/>
      <c r="G92" s="11" t="s">
        <v>36</v>
      </c>
      <c r="H92" s="11"/>
      <c r="I92" s="11"/>
      <c r="J92" s="26">
        <v>0.28000000000000003</v>
      </c>
      <c r="K92" s="26">
        <v>0.28999999999999998</v>
      </c>
      <c r="L92" s="26">
        <v>0.3</v>
      </c>
      <c r="M92" s="26">
        <v>0.3</v>
      </c>
      <c r="N92" s="26">
        <v>0.3</v>
      </c>
      <c r="O92" s="26">
        <v>0.3</v>
      </c>
    </row>
    <row r="93" spans="3:15" x14ac:dyDescent="0.3">
      <c r="E93" t="s">
        <v>37</v>
      </c>
      <c r="G93" t="s">
        <v>33</v>
      </c>
      <c r="J93">
        <f>J91 * J92</f>
        <v>336.00000000000006</v>
      </c>
      <c r="K93">
        <f t="shared" ref="K93:O93" si="51">K91 * K92</f>
        <v>382.79999999999995</v>
      </c>
      <c r="L93">
        <f t="shared" si="51"/>
        <v>435.60000000000008</v>
      </c>
      <c r="M93">
        <f t="shared" si="51"/>
        <v>479.16000000000008</v>
      </c>
      <c r="N93">
        <f t="shared" si="51"/>
        <v>527.07600000000014</v>
      </c>
      <c r="O93">
        <f t="shared" si="51"/>
        <v>579.78360000000021</v>
      </c>
    </row>
    <row r="95" spans="3:15" x14ac:dyDescent="0.3">
      <c r="C95" s="5" t="s">
        <v>38</v>
      </c>
    </row>
    <row r="96" spans="3:15" x14ac:dyDescent="0.3">
      <c r="E96" s="15" t="str">
        <f xml:space="preserve"> InpC!E$46</f>
        <v>Depreciation</v>
      </c>
      <c r="F96" s="19">
        <f xml:space="preserve"> InpC!F$46</f>
        <v>0.05</v>
      </c>
      <c r="G96" s="15" t="str">
        <f xml:space="preserve"> InpC!G$46</f>
        <v>% of Revenue</v>
      </c>
    </row>
    <row r="97" spans="1:15" x14ac:dyDescent="0.3">
      <c r="E97" s="11" t="str">
        <f xml:space="preserve"> E$87</f>
        <v>Revenue</v>
      </c>
      <c r="F97" s="11">
        <f t="shared" ref="F97:O97" si="52" xml:space="preserve"> F$87</f>
        <v>0</v>
      </c>
      <c r="G97" s="11" t="str">
        <f t="shared" si="52"/>
        <v>INR Crs</v>
      </c>
      <c r="H97" s="11">
        <f t="shared" si="52"/>
        <v>0</v>
      </c>
      <c r="I97" s="11">
        <f t="shared" si="52"/>
        <v>0</v>
      </c>
      <c r="J97" s="11">
        <f t="shared" si="52"/>
        <v>1200</v>
      </c>
      <c r="K97" s="11">
        <f t="shared" si="52"/>
        <v>1320</v>
      </c>
      <c r="L97" s="11">
        <f t="shared" si="52"/>
        <v>1452.0000000000002</v>
      </c>
      <c r="M97" s="11">
        <f t="shared" si="52"/>
        <v>1597.2000000000003</v>
      </c>
      <c r="N97" s="11">
        <f t="shared" si="52"/>
        <v>1756.9200000000005</v>
      </c>
      <c r="O97" s="11">
        <f t="shared" si="52"/>
        <v>1932.6120000000008</v>
      </c>
    </row>
    <row r="98" spans="1:15" x14ac:dyDescent="0.3">
      <c r="E98" t="s">
        <v>38</v>
      </c>
      <c r="G98" t="s">
        <v>33</v>
      </c>
      <c r="J98">
        <f>$F96 * J97</f>
        <v>60</v>
      </c>
      <c r="K98">
        <f t="shared" ref="K98:O98" si="53">$F96 * K97</f>
        <v>66</v>
      </c>
      <c r="L98">
        <f t="shared" si="53"/>
        <v>72.600000000000009</v>
      </c>
      <c r="M98">
        <f t="shared" si="53"/>
        <v>79.860000000000014</v>
      </c>
      <c r="N98">
        <f t="shared" si="53"/>
        <v>87.846000000000032</v>
      </c>
      <c r="O98">
        <f t="shared" si="53"/>
        <v>96.630600000000044</v>
      </c>
    </row>
    <row r="100" spans="1:15" x14ac:dyDescent="0.3">
      <c r="C100" s="5" t="s">
        <v>59</v>
      </c>
    </row>
    <row r="101" spans="1:15" x14ac:dyDescent="0.3">
      <c r="E101" s="15" t="str">
        <f xml:space="preserve"> InpC!E$47</f>
        <v>Interest Rate</v>
      </c>
      <c r="F101" s="19">
        <f xml:space="preserve"> InpC!F$47</f>
        <v>0.11</v>
      </c>
      <c r="G101" s="15" t="str">
        <f xml:space="preserve"> InpC!G$47</f>
        <v>%</v>
      </c>
    </row>
    <row r="102" spans="1:15" x14ac:dyDescent="0.3">
      <c r="E102" s="15" t="str">
        <f xml:space="preserve"> InpC!E$60</f>
        <v>Long-term Debt</v>
      </c>
      <c r="F102" s="15">
        <f xml:space="preserve"> InpC!F$60</f>
        <v>400</v>
      </c>
      <c r="G102" s="15" t="str">
        <f xml:space="preserve"> InpC!G$60</f>
        <v>INR Crs</v>
      </c>
    </row>
    <row r="104" spans="1:15" x14ac:dyDescent="0.3">
      <c r="E104" s="11" t="str">
        <f xml:space="preserve"> E$28</f>
        <v>Projections Start</v>
      </c>
      <c r="F104" s="11">
        <f t="shared" ref="F104:O104" si="54" xml:space="preserve"> F$28</f>
        <v>0</v>
      </c>
      <c r="G104" s="11" t="str">
        <f t="shared" si="54"/>
        <v>Flag</v>
      </c>
      <c r="H104" s="11">
        <f t="shared" si="54"/>
        <v>1</v>
      </c>
      <c r="I104" s="11">
        <f t="shared" si="54"/>
        <v>0</v>
      </c>
      <c r="J104" s="11">
        <f t="shared" si="54"/>
        <v>0</v>
      </c>
      <c r="K104" s="11">
        <f t="shared" si="54"/>
        <v>1</v>
      </c>
      <c r="L104" s="11">
        <f t="shared" si="54"/>
        <v>0</v>
      </c>
      <c r="M104" s="11">
        <f t="shared" si="54"/>
        <v>0</v>
      </c>
      <c r="N104" s="11">
        <f t="shared" si="54"/>
        <v>0</v>
      </c>
      <c r="O104" s="11">
        <f t="shared" si="54"/>
        <v>0</v>
      </c>
    </row>
    <row r="105" spans="1:15" x14ac:dyDescent="0.3">
      <c r="E105" t="s">
        <v>61</v>
      </c>
      <c r="G105" t="s">
        <v>33</v>
      </c>
      <c r="J105">
        <f xml:space="preserve"> IF(J104=1, $F102, I108)</f>
        <v>0</v>
      </c>
      <c r="K105">
        <f t="shared" ref="K105:O105" si="55" xml:space="preserve"> IF(K104=1, $F102, J108)</f>
        <v>400</v>
      </c>
      <c r="L105">
        <f t="shared" si="55"/>
        <v>400</v>
      </c>
      <c r="M105">
        <f t="shared" si="55"/>
        <v>400</v>
      </c>
      <c r="N105">
        <f t="shared" si="55"/>
        <v>400</v>
      </c>
      <c r="O105">
        <f t="shared" si="55"/>
        <v>400</v>
      </c>
    </row>
    <row r="106" spans="1:15" x14ac:dyDescent="0.3">
      <c r="E106" t="s">
        <v>62</v>
      </c>
      <c r="G106" t="s">
        <v>33</v>
      </c>
      <c r="J106" s="1"/>
      <c r="K106" s="1"/>
      <c r="L106" s="1"/>
      <c r="M106" s="1"/>
      <c r="N106" s="1"/>
      <c r="O106" s="1"/>
    </row>
    <row r="107" spans="1:15" x14ac:dyDescent="0.3">
      <c r="E107" t="s">
        <v>63</v>
      </c>
      <c r="G107" t="s">
        <v>33</v>
      </c>
      <c r="J107" s="1"/>
      <c r="K107" s="1"/>
      <c r="L107" s="1"/>
      <c r="M107" s="1"/>
      <c r="N107" s="1"/>
      <c r="O107" s="1"/>
    </row>
    <row r="108" spans="1:15" s="20" customFormat="1" x14ac:dyDescent="0.3">
      <c r="A108" s="21"/>
      <c r="B108" s="21"/>
      <c r="C108" s="22"/>
      <c r="E108" s="20" t="s">
        <v>64</v>
      </c>
      <c r="G108" s="20" t="s">
        <v>33</v>
      </c>
      <c r="J108" s="20">
        <f xml:space="preserve"> J105 + J106 - J107</f>
        <v>0</v>
      </c>
      <c r="K108" s="20">
        <f t="shared" ref="K108:O108" si="56" xml:space="preserve"> K105 + K106 - K107</f>
        <v>400</v>
      </c>
      <c r="L108" s="20">
        <f t="shared" si="56"/>
        <v>400</v>
      </c>
      <c r="M108" s="20">
        <f t="shared" si="56"/>
        <v>400</v>
      </c>
      <c r="N108" s="20">
        <f t="shared" si="56"/>
        <v>400</v>
      </c>
      <c r="O108" s="20">
        <f t="shared" si="56"/>
        <v>400</v>
      </c>
    </row>
    <row r="110" spans="1:15" x14ac:dyDescent="0.3">
      <c r="E110" s="11" t="str">
        <f xml:space="preserve"> E$30</f>
        <v>Projections Active</v>
      </c>
      <c r="F110" s="11">
        <f t="shared" ref="F110:O110" si="57" xml:space="preserve"> F$30</f>
        <v>0</v>
      </c>
      <c r="G110" s="11" t="str">
        <f t="shared" si="57"/>
        <v>Flag</v>
      </c>
      <c r="H110" s="11">
        <f t="shared" si="57"/>
        <v>5</v>
      </c>
      <c r="I110" s="11">
        <f t="shared" si="57"/>
        <v>0</v>
      </c>
      <c r="J110" s="11">
        <f t="shared" si="57"/>
        <v>0</v>
      </c>
      <c r="K110" s="11">
        <f t="shared" si="57"/>
        <v>1</v>
      </c>
      <c r="L110" s="11">
        <f t="shared" si="57"/>
        <v>1</v>
      </c>
      <c r="M110" s="11">
        <f t="shared" si="57"/>
        <v>1</v>
      </c>
      <c r="N110" s="11">
        <f t="shared" si="57"/>
        <v>1</v>
      </c>
      <c r="O110" s="11">
        <f t="shared" si="57"/>
        <v>1</v>
      </c>
    </row>
    <row r="111" spans="1:15" x14ac:dyDescent="0.3">
      <c r="E111" t="s">
        <v>65</v>
      </c>
      <c r="G111" t="s">
        <v>33</v>
      </c>
      <c r="J111">
        <f>IF(J110=1,$F101*SUM(J105:J106), 0)</f>
        <v>0</v>
      </c>
      <c r="K111">
        <f t="shared" ref="K111:O111" si="58">IF(K110=1,$F101*SUM(K105:K106), 0)</f>
        <v>44</v>
      </c>
      <c r="L111">
        <f t="shared" si="58"/>
        <v>44</v>
      </c>
      <c r="M111">
        <f t="shared" si="58"/>
        <v>44</v>
      </c>
      <c r="N111">
        <f t="shared" si="58"/>
        <v>44</v>
      </c>
      <c r="O111">
        <f t="shared" si="58"/>
        <v>44</v>
      </c>
    </row>
    <row r="113" spans="3:15" x14ac:dyDescent="0.3">
      <c r="C113" s="5" t="s">
        <v>69</v>
      </c>
    </row>
    <row r="114" spans="3:15" x14ac:dyDescent="0.3">
      <c r="E114" s="15" t="str">
        <f xml:space="preserve"> InpC!E$48</f>
        <v>Corporate Tax Rate</v>
      </c>
      <c r="F114" s="19">
        <f xml:space="preserve"> InpC!F$48</f>
        <v>0.25</v>
      </c>
      <c r="G114" s="15" t="str">
        <f xml:space="preserve"> InpC!G$48</f>
        <v>%</v>
      </c>
    </row>
    <row r="115" spans="3:15" x14ac:dyDescent="0.3">
      <c r="E115" s="11" t="str">
        <f xml:space="preserve"> E$30</f>
        <v>Projections Active</v>
      </c>
      <c r="F115" s="11">
        <f t="shared" ref="F115:O115" si="59" xml:space="preserve"> F$30</f>
        <v>0</v>
      </c>
      <c r="G115" s="11" t="str">
        <f t="shared" si="59"/>
        <v>Flag</v>
      </c>
      <c r="H115" s="11">
        <f t="shared" si="59"/>
        <v>5</v>
      </c>
      <c r="I115" s="11">
        <f t="shared" si="59"/>
        <v>0</v>
      </c>
      <c r="J115" s="11">
        <f t="shared" si="59"/>
        <v>0</v>
      </c>
      <c r="K115" s="11">
        <f t="shared" si="59"/>
        <v>1</v>
      </c>
      <c r="L115" s="11">
        <f t="shared" si="59"/>
        <v>1</v>
      </c>
      <c r="M115" s="11">
        <f t="shared" si="59"/>
        <v>1</v>
      </c>
      <c r="N115" s="11">
        <f t="shared" si="59"/>
        <v>1</v>
      </c>
      <c r="O115" s="11">
        <f t="shared" si="59"/>
        <v>1</v>
      </c>
    </row>
    <row r="116" spans="3:15" x14ac:dyDescent="0.3">
      <c r="E116" s="11" t="str">
        <f xml:space="preserve"> E$44</f>
        <v>Profit Before Tax</v>
      </c>
      <c r="F116" s="11">
        <f t="shared" ref="F116:O116" si="60" xml:space="preserve"> F$44</f>
        <v>0</v>
      </c>
      <c r="G116" s="11" t="str">
        <f t="shared" si="60"/>
        <v>INR Crs</v>
      </c>
      <c r="H116" s="11">
        <f t="shared" si="60"/>
        <v>0</v>
      </c>
      <c r="I116" s="11">
        <f t="shared" si="60"/>
        <v>0</v>
      </c>
      <c r="J116" s="11">
        <f t="shared" si="60"/>
        <v>276.00000000000006</v>
      </c>
      <c r="K116" s="11">
        <f t="shared" si="60"/>
        <v>272.79999999999995</v>
      </c>
      <c r="L116" s="11">
        <f t="shared" si="60"/>
        <v>319.00000000000006</v>
      </c>
      <c r="M116" s="11">
        <f t="shared" si="60"/>
        <v>355.30000000000007</v>
      </c>
      <c r="N116" s="11">
        <f t="shared" si="60"/>
        <v>395.23000000000013</v>
      </c>
      <c r="O116" s="11">
        <f t="shared" si="60"/>
        <v>439.15300000000013</v>
      </c>
    </row>
    <row r="117" spans="3:15" x14ac:dyDescent="0.3">
      <c r="E117" t="s">
        <v>67</v>
      </c>
      <c r="G117" t="s">
        <v>33</v>
      </c>
      <c r="J117">
        <f>IF(J115=1, $F114 * J$116, 0)</f>
        <v>0</v>
      </c>
      <c r="K117">
        <f t="shared" ref="K117:O117" si="61">IF(K115=1, $F114 * K$116, 0)</f>
        <v>68.199999999999989</v>
      </c>
      <c r="L117">
        <f t="shared" si="61"/>
        <v>79.750000000000014</v>
      </c>
      <c r="M117">
        <f t="shared" si="61"/>
        <v>88.825000000000017</v>
      </c>
      <c r="N117">
        <f t="shared" si="61"/>
        <v>98.807500000000033</v>
      </c>
      <c r="O117">
        <f t="shared" si="61"/>
        <v>109.78825000000003</v>
      </c>
    </row>
    <row r="119" spans="3:15" x14ac:dyDescent="0.3">
      <c r="C119" s="5" t="s">
        <v>47</v>
      </c>
    </row>
    <row r="120" spans="3:15" x14ac:dyDescent="0.3">
      <c r="E120" s="15" t="str">
        <f xml:space="preserve"> InpC!E$49</f>
        <v>Capital Expenditure</v>
      </c>
      <c r="F120" s="19">
        <f xml:space="preserve"> InpC!F$49</f>
        <v>0.1</v>
      </c>
      <c r="G120" s="15" t="str">
        <f xml:space="preserve"> InpC!G$49</f>
        <v>% of Revenue</v>
      </c>
    </row>
    <row r="121" spans="3:15" x14ac:dyDescent="0.3">
      <c r="E121" s="15" t="str">
        <f xml:space="preserve"> InpC!E$54</f>
        <v>Fixed Assets</v>
      </c>
      <c r="F121" s="15">
        <f xml:space="preserve"> InpC!F$54</f>
        <v>950</v>
      </c>
      <c r="G121" s="15" t="str">
        <f xml:space="preserve"> InpC!G$54</f>
        <v>INR Crs</v>
      </c>
    </row>
    <row r="122" spans="3:15" x14ac:dyDescent="0.3">
      <c r="E122" s="11" t="str">
        <f xml:space="preserve"> E$30</f>
        <v>Projections Active</v>
      </c>
      <c r="F122" s="11">
        <f t="shared" ref="F122:O122" si="62" xml:space="preserve"> F$30</f>
        <v>0</v>
      </c>
      <c r="G122" s="11" t="str">
        <f t="shared" si="62"/>
        <v>Flag</v>
      </c>
      <c r="H122" s="11">
        <f t="shared" si="62"/>
        <v>5</v>
      </c>
      <c r="I122" s="11">
        <f t="shared" si="62"/>
        <v>0</v>
      </c>
      <c r="J122" s="11">
        <f t="shared" si="62"/>
        <v>0</v>
      </c>
      <c r="K122" s="11">
        <f t="shared" si="62"/>
        <v>1</v>
      </c>
      <c r="L122" s="11">
        <f t="shared" si="62"/>
        <v>1</v>
      </c>
      <c r="M122" s="11">
        <f t="shared" si="62"/>
        <v>1</v>
      </c>
      <c r="N122" s="11">
        <f t="shared" si="62"/>
        <v>1</v>
      </c>
      <c r="O122" s="11">
        <f t="shared" si="62"/>
        <v>1</v>
      </c>
    </row>
    <row r="123" spans="3:15" x14ac:dyDescent="0.3">
      <c r="E123" s="11" t="str">
        <f xml:space="preserve"> E$87</f>
        <v>Revenue</v>
      </c>
      <c r="F123" s="11">
        <f t="shared" ref="F123:O123" si="63" xml:space="preserve"> F$87</f>
        <v>0</v>
      </c>
      <c r="G123" s="11" t="str">
        <f t="shared" si="63"/>
        <v>INR Crs</v>
      </c>
      <c r="H123" s="11">
        <f t="shared" si="63"/>
        <v>0</v>
      </c>
      <c r="I123" s="11">
        <f t="shared" si="63"/>
        <v>0</v>
      </c>
      <c r="J123" s="11">
        <f t="shared" si="63"/>
        <v>1200</v>
      </c>
      <c r="K123" s="11">
        <f t="shared" si="63"/>
        <v>1320</v>
      </c>
      <c r="L123" s="11">
        <f t="shared" si="63"/>
        <v>1452.0000000000002</v>
      </c>
      <c r="M123" s="11">
        <f t="shared" si="63"/>
        <v>1597.2000000000003</v>
      </c>
      <c r="N123" s="11">
        <f t="shared" si="63"/>
        <v>1756.9200000000005</v>
      </c>
      <c r="O123" s="11">
        <f t="shared" si="63"/>
        <v>1932.6120000000008</v>
      </c>
    </row>
    <row r="125" spans="3:15" x14ac:dyDescent="0.3">
      <c r="E125" s="11" t="str">
        <f xml:space="preserve"> E$28</f>
        <v>Projections Start</v>
      </c>
      <c r="F125" s="11">
        <f t="shared" ref="F125:O125" si="64" xml:space="preserve"> F$28</f>
        <v>0</v>
      </c>
      <c r="G125" s="11" t="str">
        <f t="shared" si="64"/>
        <v>Flag</v>
      </c>
      <c r="H125" s="11">
        <f t="shared" si="64"/>
        <v>1</v>
      </c>
      <c r="I125" s="11">
        <f t="shared" si="64"/>
        <v>0</v>
      </c>
      <c r="J125" s="11">
        <f t="shared" si="64"/>
        <v>0</v>
      </c>
      <c r="K125" s="11">
        <f t="shared" si="64"/>
        <v>1</v>
      </c>
      <c r="L125" s="11">
        <f t="shared" si="64"/>
        <v>0</v>
      </c>
      <c r="M125" s="11">
        <f t="shared" si="64"/>
        <v>0</v>
      </c>
      <c r="N125" s="11">
        <f t="shared" si="64"/>
        <v>0</v>
      </c>
      <c r="O125" s="11">
        <f t="shared" si="64"/>
        <v>0</v>
      </c>
    </row>
    <row r="126" spans="3:15" x14ac:dyDescent="0.3">
      <c r="E126" t="s">
        <v>72</v>
      </c>
      <c r="G126" t="s">
        <v>33</v>
      </c>
      <c r="J126">
        <f>IF(J125=1, $F121, I129)</f>
        <v>0</v>
      </c>
      <c r="K126">
        <f t="shared" ref="K126:O126" si="65">IF(K125=1, $F121, J129)</f>
        <v>950</v>
      </c>
      <c r="L126">
        <f t="shared" si="65"/>
        <v>1016</v>
      </c>
      <c r="M126">
        <f t="shared" si="65"/>
        <v>1088.6000000000001</v>
      </c>
      <c r="N126">
        <f t="shared" si="65"/>
        <v>1168.46</v>
      </c>
      <c r="O126">
        <f t="shared" si="65"/>
        <v>1256.306</v>
      </c>
    </row>
    <row r="127" spans="3:15" x14ac:dyDescent="0.3">
      <c r="E127" t="s">
        <v>73</v>
      </c>
      <c r="G127" t="s">
        <v>33</v>
      </c>
      <c r="J127">
        <f>IF(J122=1, $F120 * J$123, 0)</f>
        <v>0</v>
      </c>
      <c r="K127">
        <f t="shared" ref="K127:O127" si="66">IF(K122=1, $F120 * K$123, 0)</f>
        <v>132</v>
      </c>
      <c r="L127">
        <f t="shared" si="66"/>
        <v>145.20000000000002</v>
      </c>
      <c r="M127">
        <f t="shared" si="66"/>
        <v>159.72000000000003</v>
      </c>
      <c r="N127">
        <f t="shared" si="66"/>
        <v>175.69200000000006</v>
      </c>
      <c r="O127">
        <f t="shared" si="66"/>
        <v>193.26120000000009</v>
      </c>
    </row>
    <row r="128" spans="3:15" x14ac:dyDescent="0.3">
      <c r="E128" t="s">
        <v>74</v>
      </c>
      <c r="G128" t="s">
        <v>33</v>
      </c>
      <c r="K128" s="11">
        <f xml:space="preserve"> K$98</f>
        <v>66</v>
      </c>
      <c r="L128" s="11">
        <f t="shared" ref="L128:O128" si="67" xml:space="preserve"> L$98</f>
        <v>72.600000000000009</v>
      </c>
      <c r="M128" s="11">
        <f t="shared" si="67"/>
        <v>79.860000000000014</v>
      </c>
      <c r="N128" s="11">
        <f t="shared" si="67"/>
        <v>87.846000000000032</v>
      </c>
      <c r="O128" s="11">
        <f t="shared" si="67"/>
        <v>96.630600000000044</v>
      </c>
    </row>
    <row r="129" spans="1:15" s="20" customFormat="1" x14ac:dyDescent="0.3">
      <c r="A129" s="21"/>
      <c r="B129" s="21"/>
      <c r="C129" s="22"/>
      <c r="E129" s="20" t="s">
        <v>75</v>
      </c>
      <c r="G129" s="20" t="s">
        <v>33</v>
      </c>
      <c r="J129" s="20">
        <f>J126 +J127 -J128</f>
        <v>0</v>
      </c>
      <c r="K129" s="20">
        <f t="shared" ref="K129:O129" si="68">K126 +K127 -K128</f>
        <v>1016</v>
      </c>
      <c r="L129" s="20">
        <f t="shared" si="68"/>
        <v>1088.6000000000001</v>
      </c>
      <c r="M129" s="20">
        <f t="shared" si="68"/>
        <v>1168.46</v>
      </c>
      <c r="N129" s="20">
        <f t="shared" si="68"/>
        <v>1256.306</v>
      </c>
      <c r="O129" s="20">
        <f t="shared" si="68"/>
        <v>1352.9366000000002</v>
      </c>
    </row>
    <row r="131" spans="1:15" x14ac:dyDescent="0.3">
      <c r="C131" s="5" t="s">
        <v>76</v>
      </c>
    </row>
    <row r="132" spans="1:15" x14ac:dyDescent="0.3">
      <c r="E132" s="15" t="str">
        <f xml:space="preserve"> InpC!E$59</f>
        <v>Equity (Net Worth)</v>
      </c>
      <c r="F132" s="15">
        <f xml:space="preserve"> InpC!F$59</f>
        <v>700</v>
      </c>
      <c r="G132" s="15" t="str">
        <f xml:space="preserve"> InpC!G$59</f>
        <v>INR Crs</v>
      </c>
    </row>
    <row r="134" spans="1:15" x14ac:dyDescent="0.3">
      <c r="E134" s="11" t="str">
        <f xml:space="preserve"> E$30</f>
        <v>Projections Active</v>
      </c>
      <c r="F134" s="11">
        <f t="shared" ref="F134:O134" si="69" xml:space="preserve"> F$30</f>
        <v>0</v>
      </c>
      <c r="G134" s="11" t="str">
        <f t="shared" si="69"/>
        <v>Flag</v>
      </c>
      <c r="H134" s="11">
        <f t="shared" si="69"/>
        <v>5</v>
      </c>
      <c r="I134" s="11">
        <f t="shared" si="69"/>
        <v>0</v>
      </c>
      <c r="J134" s="11">
        <f t="shared" si="69"/>
        <v>0</v>
      </c>
      <c r="K134" s="11">
        <f t="shared" si="69"/>
        <v>1</v>
      </c>
      <c r="L134" s="11">
        <f t="shared" si="69"/>
        <v>1</v>
      </c>
      <c r="M134" s="11">
        <f t="shared" si="69"/>
        <v>1</v>
      </c>
      <c r="N134" s="11">
        <f t="shared" si="69"/>
        <v>1</v>
      </c>
      <c r="O134" s="11">
        <f t="shared" si="69"/>
        <v>1</v>
      </c>
    </row>
    <row r="135" spans="1:15" x14ac:dyDescent="0.3">
      <c r="E135" s="11" t="str">
        <f xml:space="preserve"> E$47</f>
        <v>Profit After Tax</v>
      </c>
      <c r="F135" s="11">
        <f t="shared" ref="F135:O135" si="70" xml:space="preserve"> F$47</f>
        <v>0</v>
      </c>
      <c r="G135" s="11" t="str">
        <f t="shared" si="70"/>
        <v>INR Crs</v>
      </c>
      <c r="H135" s="11">
        <f t="shared" si="70"/>
        <v>0</v>
      </c>
      <c r="I135" s="11">
        <f t="shared" si="70"/>
        <v>0</v>
      </c>
      <c r="J135" s="11">
        <f t="shared" si="70"/>
        <v>180.00000000000006</v>
      </c>
      <c r="K135" s="11">
        <f t="shared" si="70"/>
        <v>204.59999999999997</v>
      </c>
      <c r="L135" s="11">
        <f t="shared" si="70"/>
        <v>239.25000000000006</v>
      </c>
      <c r="M135" s="11">
        <f t="shared" si="70"/>
        <v>266.47500000000002</v>
      </c>
      <c r="N135" s="11">
        <f t="shared" si="70"/>
        <v>296.42250000000013</v>
      </c>
      <c r="O135" s="11">
        <f t="shared" si="70"/>
        <v>329.36475000000007</v>
      </c>
    </row>
    <row r="136" spans="1:15" x14ac:dyDescent="0.3"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x14ac:dyDescent="0.3">
      <c r="E137" s="11" t="str">
        <f xml:space="preserve"> E$28</f>
        <v>Projections Start</v>
      </c>
      <c r="F137" s="11">
        <f t="shared" ref="F137:O137" si="71" xml:space="preserve"> F$28</f>
        <v>0</v>
      </c>
      <c r="G137" s="11" t="str">
        <f t="shared" si="71"/>
        <v>Flag</v>
      </c>
      <c r="H137" s="11">
        <f t="shared" si="71"/>
        <v>1</v>
      </c>
      <c r="I137" s="11">
        <f t="shared" si="71"/>
        <v>0</v>
      </c>
      <c r="J137" s="11">
        <f t="shared" si="71"/>
        <v>0</v>
      </c>
      <c r="K137" s="11">
        <f t="shared" si="71"/>
        <v>1</v>
      </c>
      <c r="L137" s="11">
        <f t="shared" si="71"/>
        <v>0</v>
      </c>
      <c r="M137" s="11">
        <f t="shared" si="71"/>
        <v>0</v>
      </c>
      <c r="N137" s="11">
        <f t="shared" si="71"/>
        <v>0</v>
      </c>
      <c r="O137" s="11">
        <f t="shared" si="71"/>
        <v>0</v>
      </c>
    </row>
    <row r="138" spans="1:15" x14ac:dyDescent="0.3">
      <c r="E138" t="s">
        <v>77</v>
      </c>
      <c r="G138" t="s">
        <v>33</v>
      </c>
      <c r="J138">
        <f>IF(J137=1, $F132, I141)</f>
        <v>0</v>
      </c>
      <c r="K138">
        <f t="shared" ref="K138:O138" si="72">IF(K137=1, $F132, J141)</f>
        <v>700</v>
      </c>
      <c r="L138">
        <f t="shared" si="72"/>
        <v>904.59999999999991</v>
      </c>
      <c r="M138">
        <f t="shared" si="72"/>
        <v>1143.8499999999999</v>
      </c>
      <c r="N138">
        <f t="shared" si="72"/>
        <v>1410.3249999999998</v>
      </c>
      <c r="O138">
        <f t="shared" si="72"/>
        <v>1706.7474999999999</v>
      </c>
    </row>
    <row r="139" spans="1:15" x14ac:dyDescent="0.3">
      <c r="E139" t="s">
        <v>78</v>
      </c>
      <c r="G139" t="s">
        <v>33</v>
      </c>
      <c r="J139">
        <f>IF(J134=1, J135, 0)</f>
        <v>0</v>
      </c>
      <c r="K139">
        <f t="shared" ref="K139:O139" si="73">IF(K134=1, K135, 0)</f>
        <v>204.59999999999997</v>
      </c>
      <c r="L139">
        <f t="shared" si="73"/>
        <v>239.25000000000006</v>
      </c>
      <c r="M139">
        <f t="shared" si="73"/>
        <v>266.47500000000002</v>
      </c>
      <c r="N139">
        <f t="shared" si="73"/>
        <v>296.42250000000013</v>
      </c>
      <c r="O139">
        <f t="shared" si="73"/>
        <v>329.36475000000007</v>
      </c>
    </row>
    <row r="140" spans="1:15" x14ac:dyDescent="0.3">
      <c r="E140" t="s">
        <v>79</v>
      </c>
      <c r="G140" t="s">
        <v>33</v>
      </c>
    </row>
    <row r="141" spans="1:15" s="21" customFormat="1" x14ac:dyDescent="0.3">
      <c r="C141" s="23"/>
      <c r="E141" s="21" t="s">
        <v>80</v>
      </c>
      <c r="G141" s="21" t="s">
        <v>33</v>
      </c>
      <c r="J141" s="21">
        <f>J138 + J139 - J140</f>
        <v>0</v>
      </c>
      <c r="K141" s="21">
        <f t="shared" ref="K141:O141" si="74">K138 + K139 - K140</f>
        <v>904.59999999999991</v>
      </c>
      <c r="L141" s="21">
        <f t="shared" si="74"/>
        <v>1143.8499999999999</v>
      </c>
      <c r="M141" s="21">
        <f t="shared" si="74"/>
        <v>1410.3249999999998</v>
      </c>
      <c r="N141" s="21">
        <f t="shared" si="74"/>
        <v>1706.7474999999999</v>
      </c>
      <c r="O141" s="21">
        <f t="shared" si="74"/>
        <v>2036.1122500000001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87E2-8944-412C-8EAB-62758067526D}">
  <sheetPr>
    <tabColor rgb="FF92D050"/>
  </sheetPr>
  <dimension ref="A1:O88"/>
  <sheetViews>
    <sheetView showGridLines="0" zoomScale="130" zoomScaleNormal="130" workbookViewId="0">
      <pane xSplit="9" ySplit="6" topLeftCell="J55" activePane="bottomRight" state="frozen"/>
      <selection activeCell="O61" sqref="O61"/>
      <selection pane="topRight" activeCell="O61" sqref="O61"/>
      <selection pane="bottomLeft" activeCell="O61" sqref="O61"/>
      <selection pane="bottomRight" activeCell="M83" sqref="M83:M85"/>
    </sheetView>
  </sheetViews>
  <sheetFormatPr defaultColWidth="0" defaultRowHeight="13" x14ac:dyDescent="0.3"/>
  <cols>
    <col min="1" max="2" width="1.81640625" style="3" customWidth="1"/>
    <col min="3" max="3" width="1.81640625" style="5" customWidth="1"/>
    <col min="4" max="4" width="1.81640625" customWidth="1"/>
    <col min="5" max="5" width="40.81640625" customWidth="1"/>
    <col min="6" max="8" width="10.08984375" bestFit="1" customWidth="1"/>
    <col min="9" max="9" width="1.81640625" customWidth="1"/>
    <col min="10" max="15" width="10.08984375" bestFit="1" customWidth="1"/>
  </cols>
  <sheetData>
    <row r="1" spans="1:15" x14ac:dyDescent="0.3">
      <c r="E1" s="15" t="str">
        <f xml:space="preserve"> Beta!E$13</f>
        <v>Period Start</v>
      </c>
      <c r="F1" s="15">
        <f xml:space="preserve"> Beta!F$13</f>
        <v>0</v>
      </c>
      <c r="G1" s="15" t="str">
        <f xml:space="preserve"> Beta!G$13</f>
        <v>Date</v>
      </c>
      <c r="H1" s="15">
        <f xml:space="preserve"> Beta!H$13</f>
        <v>0</v>
      </c>
      <c r="I1" s="15">
        <f xml:space="preserve"> Beta!I$13</f>
        <v>0</v>
      </c>
      <c r="J1" s="16">
        <f xml:space="preserve"> Beta!J$13</f>
        <v>45658</v>
      </c>
      <c r="K1" s="16">
        <f xml:space="preserve"> Beta!K$13</f>
        <v>46023</v>
      </c>
      <c r="L1" s="16">
        <f xml:space="preserve"> Beta!L$13</f>
        <v>46388</v>
      </c>
      <c r="M1" s="16">
        <f xml:space="preserve"> Beta!M$13</f>
        <v>46753</v>
      </c>
      <c r="N1" s="16">
        <f xml:space="preserve"> Beta!N$13</f>
        <v>47119</v>
      </c>
      <c r="O1" s="16">
        <f xml:space="preserve"> Beta!O$13</f>
        <v>47484</v>
      </c>
    </row>
    <row r="2" spans="1:15" x14ac:dyDescent="0.3">
      <c r="E2" s="15" t="str">
        <f xml:space="preserve"> Beta!E$14</f>
        <v>Period End</v>
      </c>
      <c r="F2" s="15">
        <f xml:space="preserve"> Beta!F$14</f>
        <v>0</v>
      </c>
      <c r="G2" s="15" t="str">
        <f xml:space="preserve"> Beta!G$14</f>
        <v>Date</v>
      </c>
      <c r="H2" s="15">
        <f xml:space="preserve"> Beta!H$14</f>
        <v>0</v>
      </c>
      <c r="I2" s="15">
        <f xml:space="preserve"> Beta!I$14</f>
        <v>0</v>
      </c>
      <c r="J2" s="16">
        <f xml:space="preserve"> Beta!J$14</f>
        <v>46022</v>
      </c>
      <c r="K2" s="16">
        <f xml:space="preserve"> Beta!K$14</f>
        <v>46387</v>
      </c>
      <c r="L2" s="16">
        <f xml:space="preserve"> Beta!L$14</f>
        <v>46752</v>
      </c>
      <c r="M2" s="16">
        <f xml:space="preserve"> Beta!M$14</f>
        <v>47118</v>
      </c>
      <c r="N2" s="16">
        <f xml:space="preserve"> Beta!N$14</f>
        <v>47483</v>
      </c>
      <c r="O2" s="16">
        <f xml:space="preserve"> Beta!O$14</f>
        <v>47848</v>
      </c>
    </row>
    <row r="3" spans="1:15" x14ac:dyDescent="0.3">
      <c r="E3" s="15" t="str">
        <f xml:space="preserve"> Beta!E$15</f>
        <v>Number of Days</v>
      </c>
      <c r="F3" s="15">
        <f xml:space="preserve"> Beta!F$15</f>
        <v>0</v>
      </c>
      <c r="G3" s="15" t="str">
        <f xml:space="preserve"> Beta!G$15</f>
        <v>Days</v>
      </c>
      <c r="H3" s="15">
        <f xml:space="preserve"> Beta!H$15</f>
        <v>0</v>
      </c>
      <c r="I3" s="15">
        <f xml:space="preserve"> Beta!I$15</f>
        <v>0</v>
      </c>
      <c r="J3" s="15">
        <f xml:space="preserve"> Beta!J$15</f>
        <v>365</v>
      </c>
      <c r="K3" s="15">
        <f xml:space="preserve"> Beta!K$15</f>
        <v>365</v>
      </c>
      <c r="L3" s="15">
        <f xml:space="preserve"> Beta!L$15</f>
        <v>365</v>
      </c>
      <c r="M3" s="15">
        <f xml:space="preserve"> Beta!M$15</f>
        <v>366</v>
      </c>
      <c r="N3" s="15">
        <f xml:space="preserve"> Beta!N$15</f>
        <v>365</v>
      </c>
      <c r="O3" s="15">
        <f xml:space="preserve"> Beta!O$15</f>
        <v>365</v>
      </c>
    </row>
    <row r="4" spans="1:15" x14ac:dyDescent="0.3">
      <c r="E4" s="15" t="str">
        <f xml:space="preserve"> Beta!E$16</f>
        <v>Financial Year</v>
      </c>
      <c r="F4" s="15">
        <f xml:space="preserve"> Beta!F$16</f>
        <v>0</v>
      </c>
      <c r="G4" s="15" t="str">
        <f xml:space="preserve"> Beta!G$16</f>
        <v>Year</v>
      </c>
      <c r="H4" s="15">
        <f xml:space="preserve"> Beta!H$16</f>
        <v>0</v>
      </c>
      <c r="I4" s="15">
        <f xml:space="preserve"> Beta!I$16</f>
        <v>0</v>
      </c>
      <c r="J4" s="27">
        <f xml:space="preserve"> Beta!J$16</f>
        <v>2025</v>
      </c>
      <c r="K4" s="27">
        <f xml:space="preserve"> Beta!K$16</f>
        <v>2026</v>
      </c>
      <c r="L4" s="27">
        <f xml:space="preserve"> Beta!L$16</f>
        <v>2027</v>
      </c>
      <c r="M4" s="27">
        <f xml:space="preserve"> Beta!M$16</f>
        <v>2028</v>
      </c>
      <c r="N4" s="27">
        <f xml:space="preserve"> Beta!N$16</f>
        <v>2029</v>
      </c>
      <c r="O4" s="27">
        <f xml:space="preserve"> Beta!O$16</f>
        <v>2030</v>
      </c>
    </row>
    <row r="6" spans="1:15" x14ac:dyDescent="0.3">
      <c r="F6" t="s">
        <v>3</v>
      </c>
      <c r="G6" t="s">
        <v>4</v>
      </c>
      <c r="H6" t="s">
        <v>5</v>
      </c>
    </row>
    <row r="7" spans="1:15" s="1" customFormat="1" x14ac:dyDescent="0.3">
      <c r="A7" s="2" t="s">
        <v>92</v>
      </c>
      <c r="B7" s="2"/>
      <c r="C7" s="4"/>
    </row>
    <row r="9" spans="1:15" x14ac:dyDescent="0.3">
      <c r="E9" s="15" t="str">
        <f xml:space="preserve"> InpC!E$48</f>
        <v>Corporate Tax Rate</v>
      </c>
      <c r="F9" s="19">
        <f xml:space="preserve"> InpC!F$48</f>
        <v>0.25</v>
      </c>
      <c r="G9" s="15" t="str">
        <f xml:space="preserve"> InpC!G$48</f>
        <v>%</v>
      </c>
    </row>
    <row r="10" spans="1:15" x14ac:dyDescent="0.3">
      <c r="E10" s="15" t="str">
        <f xml:space="preserve"> InpC!E$50</f>
        <v>WACC</v>
      </c>
      <c r="F10" s="19">
        <f xml:space="preserve"> InpC!F$50</f>
        <v>0.12</v>
      </c>
      <c r="G10" s="15" t="str">
        <f xml:space="preserve"> InpC!G$50</f>
        <v>%</v>
      </c>
    </row>
    <row r="11" spans="1:15" x14ac:dyDescent="0.3">
      <c r="E11" s="15" t="str">
        <f xml:space="preserve"> InpC!E$51</f>
        <v>Terminal Growth Rate</v>
      </c>
      <c r="F11" s="19">
        <f xml:space="preserve"> InpC!F$51</f>
        <v>0.04</v>
      </c>
      <c r="G11" s="15" t="str">
        <f xml:space="preserve"> InpC!G$51</f>
        <v>%</v>
      </c>
    </row>
    <row r="12" spans="1:15" x14ac:dyDescent="0.3">
      <c r="E12" s="15" t="str">
        <f xml:space="preserve"> Beta!E$30</f>
        <v>Projections Active</v>
      </c>
      <c r="F12" s="15">
        <f xml:space="preserve"> Beta!F$30</f>
        <v>0</v>
      </c>
      <c r="G12" s="15" t="str">
        <f xml:space="preserve"> Beta!G$30</f>
        <v>Flag</v>
      </c>
      <c r="H12" s="15">
        <f xml:space="preserve"> Beta!H$30</f>
        <v>5</v>
      </c>
      <c r="I12" s="15">
        <f xml:space="preserve"> Beta!I$30</f>
        <v>0</v>
      </c>
      <c r="J12" s="15">
        <f xml:space="preserve"> Beta!J$30</f>
        <v>0</v>
      </c>
      <c r="K12" s="15">
        <f xml:space="preserve"> Beta!K$30</f>
        <v>1</v>
      </c>
      <c r="L12" s="15">
        <f xml:space="preserve"> Beta!L$30</f>
        <v>1</v>
      </c>
      <c r="M12" s="15">
        <f xml:space="preserve"> Beta!M$30</f>
        <v>1</v>
      </c>
      <c r="N12" s="15">
        <f xml:space="preserve"> Beta!N$30</f>
        <v>1</v>
      </c>
      <c r="O12" s="15">
        <f xml:space="preserve"> Beta!O$30</f>
        <v>1</v>
      </c>
    </row>
    <row r="13" spans="1:15" x14ac:dyDescent="0.3">
      <c r="E13" s="15" t="str">
        <f xml:space="preserve"> Beta!E$29</f>
        <v>Projections End</v>
      </c>
      <c r="F13" s="15">
        <f xml:space="preserve"> Beta!F$29</f>
        <v>0</v>
      </c>
      <c r="G13" s="15" t="str">
        <f xml:space="preserve"> Beta!G$29</f>
        <v>Flag</v>
      </c>
      <c r="H13" s="15">
        <f xml:space="preserve"> Beta!H$29</f>
        <v>1</v>
      </c>
      <c r="I13" s="15">
        <f xml:space="preserve"> Beta!I$29</f>
        <v>0</v>
      </c>
      <c r="J13" s="15">
        <f xml:space="preserve"> Beta!J$29</f>
        <v>0</v>
      </c>
      <c r="K13" s="15">
        <f xml:space="preserve"> Beta!K$29</f>
        <v>0</v>
      </c>
      <c r="L13" s="15">
        <f xml:space="preserve"> Beta!L$29</f>
        <v>0</v>
      </c>
      <c r="M13" s="15">
        <f xml:space="preserve"> Beta!M$29</f>
        <v>0</v>
      </c>
      <c r="N13" s="15">
        <f xml:space="preserve"> Beta!N$29</f>
        <v>0</v>
      </c>
      <c r="O13" s="15">
        <f xml:space="preserve"> Beta!O$29</f>
        <v>1</v>
      </c>
    </row>
    <row r="14" spans="1:15" x14ac:dyDescent="0.3">
      <c r="E14" s="15" t="str">
        <f xml:space="preserve"> Beta!E$31</f>
        <v>Projections Period</v>
      </c>
      <c r="F14" s="15">
        <f xml:space="preserve"> Beta!F$31</f>
        <v>0</v>
      </c>
      <c r="G14" s="15" t="str">
        <f xml:space="preserve"> Beta!G$31</f>
        <v>Year</v>
      </c>
      <c r="H14" s="15">
        <f xml:space="preserve"> Beta!H$31</f>
        <v>0</v>
      </c>
      <c r="I14" s="15">
        <f xml:space="preserve"> Beta!I$31</f>
        <v>0</v>
      </c>
      <c r="J14" s="15">
        <f xml:space="preserve"> Beta!J$31</f>
        <v>0</v>
      </c>
      <c r="K14" s="15">
        <f xml:space="preserve"> Beta!K$31</f>
        <v>1</v>
      </c>
      <c r="L14" s="15">
        <f xml:space="preserve"> Beta!L$31</f>
        <v>2</v>
      </c>
      <c r="M14" s="15">
        <f xml:space="preserve"> Beta!M$31</f>
        <v>3</v>
      </c>
      <c r="N14" s="15">
        <f xml:space="preserve"> Beta!N$31</f>
        <v>4</v>
      </c>
      <c r="O14" s="15">
        <f xml:space="preserve"> Beta!O$31</f>
        <v>5</v>
      </c>
    </row>
    <row r="15" spans="1:15" x14ac:dyDescent="0.3">
      <c r="E15" s="15" t="str">
        <f xml:space="preserve"> Beta!E$41</f>
        <v>EBIT</v>
      </c>
      <c r="F15" s="15">
        <f xml:space="preserve"> Beta!F$41</f>
        <v>0</v>
      </c>
      <c r="G15" s="15" t="str">
        <f xml:space="preserve"> Beta!G$41</f>
        <v>INR Crs</v>
      </c>
      <c r="H15" s="15">
        <f xml:space="preserve"> Beta!H$41</f>
        <v>0</v>
      </c>
      <c r="I15" s="15">
        <f xml:space="preserve"> Beta!I$41</f>
        <v>0</v>
      </c>
      <c r="J15" s="15">
        <f xml:space="preserve"> Beta!J$41</f>
        <v>276.00000000000006</v>
      </c>
      <c r="K15" s="15">
        <f xml:space="preserve"> Beta!K$41</f>
        <v>316.79999999999995</v>
      </c>
      <c r="L15" s="15">
        <f xml:space="preserve"> Beta!L$41</f>
        <v>363.00000000000006</v>
      </c>
      <c r="M15" s="15">
        <f xml:space="preserve"> Beta!M$41</f>
        <v>399.30000000000007</v>
      </c>
      <c r="N15" s="15">
        <f xml:space="preserve"> Beta!N$41</f>
        <v>439.23000000000013</v>
      </c>
      <c r="O15" s="15">
        <f xml:space="preserve"> Beta!O$41</f>
        <v>483.15300000000013</v>
      </c>
    </row>
    <row r="16" spans="1:15" x14ac:dyDescent="0.3">
      <c r="E16" t="s">
        <v>94</v>
      </c>
      <c r="G16" t="s">
        <v>33</v>
      </c>
      <c r="J16">
        <f t="shared" ref="J16:O16" si="0" xml:space="preserve"> IF(J12=1, $F9 * J$15, 0)</f>
        <v>0</v>
      </c>
      <c r="K16">
        <f t="shared" si="0"/>
        <v>79.199999999999989</v>
      </c>
      <c r="L16">
        <f t="shared" si="0"/>
        <v>90.750000000000014</v>
      </c>
      <c r="M16">
        <f t="shared" si="0"/>
        <v>99.825000000000017</v>
      </c>
      <c r="N16">
        <f t="shared" si="0"/>
        <v>109.80750000000003</v>
      </c>
      <c r="O16">
        <f t="shared" si="0"/>
        <v>120.78825000000003</v>
      </c>
    </row>
    <row r="17" spans="1:15" x14ac:dyDescent="0.3">
      <c r="E17" t="s">
        <v>93</v>
      </c>
      <c r="G17" t="s">
        <v>33</v>
      </c>
      <c r="J17">
        <f>IF(J12=1, J15-J16, 0)</f>
        <v>0</v>
      </c>
      <c r="K17">
        <f t="shared" ref="K17:O17" si="1">IF(K12=1, K15-K16, 0)</f>
        <v>237.59999999999997</v>
      </c>
      <c r="L17">
        <f t="shared" si="1"/>
        <v>272.25000000000006</v>
      </c>
      <c r="M17">
        <f t="shared" si="1"/>
        <v>299.47500000000002</v>
      </c>
      <c r="N17">
        <f t="shared" si="1"/>
        <v>329.42250000000013</v>
      </c>
      <c r="O17">
        <f t="shared" si="1"/>
        <v>362.36475000000007</v>
      </c>
    </row>
    <row r="18" spans="1:15" x14ac:dyDescent="0.3">
      <c r="E18" s="15" t="str">
        <f xml:space="preserve"> Beta!E$40</f>
        <v>Depreciation</v>
      </c>
      <c r="F18" s="15">
        <f xml:space="preserve"> Beta!F$40</f>
        <v>0</v>
      </c>
      <c r="G18" s="15" t="str">
        <f xml:space="preserve"> Beta!G$40</f>
        <v>INR Crs</v>
      </c>
      <c r="H18" s="15">
        <f xml:space="preserve"> Beta!H$40</f>
        <v>0</v>
      </c>
      <c r="I18" s="15">
        <f xml:space="preserve"> Beta!I$40</f>
        <v>0</v>
      </c>
      <c r="J18" s="15">
        <f xml:space="preserve"> Beta!J$40</f>
        <v>60</v>
      </c>
      <c r="K18" s="15">
        <f xml:space="preserve"> Beta!K$40</f>
        <v>66</v>
      </c>
      <c r="L18" s="15">
        <f xml:space="preserve"> Beta!L$40</f>
        <v>72.600000000000009</v>
      </c>
      <c r="M18" s="15">
        <f xml:space="preserve"> Beta!M$40</f>
        <v>79.860000000000014</v>
      </c>
      <c r="N18" s="15">
        <f xml:space="preserve"> Beta!N$40</f>
        <v>87.846000000000032</v>
      </c>
      <c r="O18" s="15">
        <f xml:space="preserve"> Beta!O$40</f>
        <v>96.630600000000044</v>
      </c>
    </row>
    <row r="19" spans="1:15" x14ac:dyDescent="0.3">
      <c r="E19" s="15" t="str">
        <f xml:space="preserve"> Beta!E$67</f>
        <v>Changes in working capital</v>
      </c>
      <c r="F19" s="15">
        <f xml:space="preserve"> Beta!F$67</f>
        <v>0</v>
      </c>
      <c r="G19" s="15" t="str">
        <f xml:space="preserve"> Beta!G$67</f>
        <v>INR Crs</v>
      </c>
      <c r="H19" s="15">
        <f xml:space="preserve"> Beta!H$67</f>
        <v>0</v>
      </c>
      <c r="I19" s="15">
        <f xml:space="preserve"> Beta!I$67</f>
        <v>0</v>
      </c>
      <c r="J19" s="15">
        <f xml:space="preserve"> Beta!J$67</f>
        <v>0</v>
      </c>
      <c r="K19" s="15">
        <f xml:space="preserve"> Beta!K$67</f>
        <v>0</v>
      </c>
      <c r="L19" s="15">
        <f xml:space="preserve"> Beta!L$67</f>
        <v>0</v>
      </c>
      <c r="M19" s="15">
        <f xml:space="preserve"> Beta!M$67</f>
        <v>0</v>
      </c>
      <c r="N19" s="15">
        <f xml:space="preserve"> Beta!N$67</f>
        <v>0</v>
      </c>
      <c r="O19" s="15">
        <f xml:space="preserve"> Beta!O$67</f>
        <v>0</v>
      </c>
    </row>
    <row r="20" spans="1:15" x14ac:dyDescent="0.3">
      <c r="E20" s="15" t="str">
        <f xml:space="preserve"> Beta!E$70</f>
        <v>Capital Expenditure</v>
      </c>
      <c r="F20" s="15">
        <f xml:space="preserve"> Beta!F$70</f>
        <v>0</v>
      </c>
      <c r="G20" s="15" t="str">
        <f xml:space="preserve"> Beta!G$70</f>
        <v>INR Crs</v>
      </c>
      <c r="H20" s="15">
        <f xml:space="preserve"> Beta!H$70</f>
        <v>0</v>
      </c>
      <c r="I20" s="15">
        <f xml:space="preserve"> Beta!I$70</f>
        <v>0</v>
      </c>
      <c r="J20" s="15">
        <f xml:space="preserve"> Beta!J$70</f>
        <v>0</v>
      </c>
      <c r="K20" s="15">
        <f xml:space="preserve"> Beta!K$70</f>
        <v>-132</v>
      </c>
      <c r="L20" s="15">
        <f xml:space="preserve"> Beta!L$70</f>
        <v>-145.20000000000002</v>
      </c>
      <c r="M20" s="15">
        <f xml:space="preserve"> Beta!M$70</f>
        <v>-159.72000000000003</v>
      </c>
      <c r="N20" s="15">
        <f xml:space="preserve"> Beta!N$70</f>
        <v>-175.69200000000006</v>
      </c>
      <c r="O20" s="15">
        <f xml:space="preserve"> Beta!O$70</f>
        <v>-193.26120000000009</v>
      </c>
    </row>
    <row r="21" spans="1:15" s="21" customFormat="1" x14ac:dyDescent="0.3">
      <c r="C21" s="23"/>
      <c r="E21" s="21" t="s">
        <v>95</v>
      </c>
      <c r="G21" s="21" t="s">
        <v>33</v>
      </c>
      <c r="J21" s="21">
        <f>IF(J12=1,SUM(J17:J20), 0)</f>
        <v>0</v>
      </c>
      <c r="K21" s="21">
        <f t="shared" ref="K21:O21" si="2">IF(K12=1,SUM(K17:K20), 0)</f>
        <v>171.59999999999997</v>
      </c>
      <c r="L21" s="21">
        <f t="shared" si="2"/>
        <v>199.65000000000006</v>
      </c>
      <c r="M21" s="21">
        <f t="shared" si="2"/>
        <v>219.61500000000001</v>
      </c>
      <c r="N21" s="21">
        <f t="shared" si="2"/>
        <v>241.57650000000007</v>
      </c>
      <c r="O21" s="21">
        <f t="shared" si="2"/>
        <v>265.73415000000006</v>
      </c>
    </row>
    <row r="22" spans="1:15" x14ac:dyDescent="0.3">
      <c r="E22" t="s">
        <v>98</v>
      </c>
      <c r="G22" t="s">
        <v>33</v>
      </c>
      <c r="J22">
        <f>IF(J13=1, (J21*(1+$F$11))/($F$10-$F$11), 0)</f>
        <v>0</v>
      </c>
      <c r="K22">
        <f t="shared" ref="K22:O22" si="3">IF(K13=1, (K21*(1+$F$11))/($F$10-$F$11), 0)</f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3454.5439500000011</v>
      </c>
    </row>
    <row r="23" spans="1:15" x14ac:dyDescent="0.3">
      <c r="E23" t="s">
        <v>99</v>
      </c>
      <c r="G23" t="s">
        <v>33</v>
      </c>
      <c r="J23">
        <f>SUM(J21:J22)</f>
        <v>0</v>
      </c>
      <c r="K23">
        <f t="shared" ref="K23:O23" si="4">SUM(K21:K22)</f>
        <v>171.59999999999997</v>
      </c>
      <c r="L23">
        <f t="shared" si="4"/>
        <v>199.65000000000006</v>
      </c>
      <c r="M23">
        <f t="shared" si="4"/>
        <v>219.61500000000001</v>
      </c>
      <c r="N23">
        <f t="shared" si="4"/>
        <v>241.57650000000007</v>
      </c>
      <c r="O23">
        <f t="shared" si="4"/>
        <v>3720.2781000000014</v>
      </c>
    </row>
    <row r="24" spans="1:15" x14ac:dyDescent="0.3">
      <c r="E24" t="s">
        <v>100</v>
      </c>
      <c r="G24" t="s">
        <v>36</v>
      </c>
      <c r="J24" s="31">
        <f t="shared" ref="J24" si="5">IF(J12=1, 1/(1+$F$10)^J14, 0)</f>
        <v>0</v>
      </c>
      <c r="K24" s="31">
        <f>IF(K12=1, 1/(1+$F$10)^K14, 0)</f>
        <v>0.89285714285714279</v>
      </c>
      <c r="L24" s="31">
        <f t="shared" ref="L24:O24" si="6">IF(L12=1, 1/(1+$F$10)^L14, 0)</f>
        <v>0.79719387755102034</v>
      </c>
      <c r="M24" s="31">
        <f t="shared" si="6"/>
        <v>0.71178024781341087</v>
      </c>
      <c r="N24" s="31">
        <f t="shared" si="6"/>
        <v>0.63551807840483121</v>
      </c>
      <c r="O24" s="31">
        <f t="shared" si="6"/>
        <v>0.56742685571859919</v>
      </c>
    </row>
    <row r="25" spans="1:15" x14ac:dyDescent="0.3">
      <c r="E25" t="s">
        <v>102</v>
      </c>
      <c r="G25" t="s">
        <v>33</v>
      </c>
      <c r="J25">
        <f>J23 * J24</f>
        <v>0</v>
      </c>
      <c r="K25">
        <f t="shared" ref="K25:O25" si="7">K23 * K24</f>
        <v>153.21428571428567</v>
      </c>
      <c r="L25">
        <f t="shared" si="7"/>
        <v>159.15975765306126</v>
      </c>
      <c r="M25">
        <f t="shared" si="7"/>
        <v>156.31761912354224</v>
      </c>
      <c r="N25">
        <f t="shared" si="7"/>
        <v>153.52623306776474</v>
      </c>
      <c r="O25">
        <f t="shared" si="7"/>
        <v>2110.9857046817651</v>
      </c>
    </row>
    <row r="27" spans="1:15" x14ac:dyDescent="0.3">
      <c r="E27" t="s">
        <v>103</v>
      </c>
      <c r="F27">
        <f xml:space="preserve"> SUM(J25:O25)</f>
        <v>2733.2036002404193</v>
      </c>
      <c r="G27" t="s">
        <v>33</v>
      </c>
    </row>
    <row r="28" spans="1:15" x14ac:dyDescent="0.3">
      <c r="E28" s="15" t="str">
        <f xml:space="preserve"> InpC!E$56</f>
        <v>Cash</v>
      </c>
      <c r="F28" s="15">
        <f xml:space="preserve"> InpC!F$56</f>
        <v>120</v>
      </c>
      <c r="G28" s="15" t="str">
        <f xml:space="preserve"> InpC!G$56</f>
        <v>INR Crs</v>
      </c>
    </row>
    <row r="29" spans="1:15" x14ac:dyDescent="0.3">
      <c r="E29" s="15" t="str">
        <f xml:space="preserve"> InpC!E$60</f>
        <v>Long-term Debt</v>
      </c>
      <c r="F29" s="15">
        <f xml:space="preserve"> InpC!F$60</f>
        <v>400</v>
      </c>
      <c r="G29" s="15" t="str">
        <f xml:space="preserve"> InpC!G$60</f>
        <v>INR Crs</v>
      </c>
    </row>
    <row r="30" spans="1:15" x14ac:dyDescent="0.3">
      <c r="E30" s="21" t="s">
        <v>104</v>
      </c>
      <c r="F30" s="21">
        <f>F27 +F28 - F29</f>
        <v>2453.2036002404193</v>
      </c>
      <c r="G30" s="21" t="s">
        <v>33</v>
      </c>
    </row>
    <row r="32" spans="1:15" s="1" customFormat="1" x14ac:dyDescent="0.3">
      <c r="A32" s="2" t="s">
        <v>105</v>
      </c>
      <c r="B32" s="2"/>
      <c r="C32" s="4"/>
    </row>
    <row r="34" spans="1:7" x14ac:dyDescent="0.3">
      <c r="C34" s="5" t="s">
        <v>106</v>
      </c>
    </row>
    <row r="35" spans="1:7" x14ac:dyDescent="0.3">
      <c r="E35" s="11" t="str">
        <f t="shared" ref="E35:G35" si="8" xml:space="preserve"> E$27</f>
        <v>Enterprise Value of Beta Componenets</v>
      </c>
      <c r="F35" s="11">
        <f t="shared" si="8"/>
        <v>2733.2036002404193</v>
      </c>
      <c r="G35" s="11" t="str">
        <f t="shared" si="8"/>
        <v>INR Crs</v>
      </c>
    </row>
    <row r="36" spans="1:7" x14ac:dyDescent="0.3">
      <c r="E36" t="s">
        <v>40</v>
      </c>
      <c r="F36" s="15">
        <f xml:space="preserve"> Beta!J$38</f>
        <v>336.00000000000006</v>
      </c>
      <c r="G36" t="s">
        <v>33</v>
      </c>
    </row>
    <row r="37" spans="1:7" x14ac:dyDescent="0.3">
      <c r="E37" t="s">
        <v>107</v>
      </c>
      <c r="F37" s="30">
        <f>F35 / F36</f>
        <v>8.1345345245250567</v>
      </c>
      <c r="G37" t="s">
        <v>108</v>
      </c>
    </row>
    <row r="39" spans="1:7" x14ac:dyDescent="0.3">
      <c r="C39" s="5" t="s">
        <v>109</v>
      </c>
    </row>
    <row r="40" spans="1:7" x14ac:dyDescent="0.3">
      <c r="E40" s="11" t="str">
        <f t="shared" ref="E40:G40" si="9" xml:space="preserve"> E$30</f>
        <v>Equity Value of Beta Components</v>
      </c>
      <c r="F40" s="11">
        <f t="shared" si="9"/>
        <v>2453.2036002404193</v>
      </c>
      <c r="G40" s="11" t="str">
        <f t="shared" si="9"/>
        <v>INR Crs</v>
      </c>
    </row>
    <row r="41" spans="1:7" x14ac:dyDescent="0.3">
      <c r="E41" t="s">
        <v>110</v>
      </c>
      <c r="F41" s="15">
        <f xml:space="preserve"> Beta!J$47</f>
        <v>180.00000000000006</v>
      </c>
      <c r="G41" t="s">
        <v>33</v>
      </c>
    </row>
    <row r="42" spans="1:7" x14ac:dyDescent="0.3">
      <c r="E42" t="s">
        <v>111</v>
      </c>
      <c r="F42" s="30">
        <f>F40 / F41</f>
        <v>13.628908890224547</v>
      </c>
      <c r="G42" t="s">
        <v>108</v>
      </c>
    </row>
    <row r="43" spans="1:7" x14ac:dyDescent="0.3">
      <c r="F43" s="30"/>
    </row>
    <row r="44" spans="1:7" s="1" customFormat="1" x14ac:dyDescent="0.3">
      <c r="A44" s="2" t="s">
        <v>115</v>
      </c>
      <c r="B44" s="2"/>
      <c r="C44" s="4"/>
    </row>
    <row r="46" spans="1:7" x14ac:dyDescent="0.3">
      <c r="E46" s="15" t="str">
        <f xml:space="preserve"> InpC!E$66</f>
        <v>Transaction Date</v>
      </c>
      <c r="F46" s="16">
        <f xml:space="preserve"> InpC!F$66</f>
        <v>46023</v>
      </c>
      <c r="G46" s="15" t="str">
        <f xml:space="preserve"> InpC!G$66</f>
        <v>Date</v>
      </c>
    </row>
    <row r="47" spans="1:7" x14ac:dyDescent="0.3">
      <c r="E47" s="15" t="str">
        <f xml:space="preserve"> InpC!E$67</f>
        <v>Transaction Premium</v>
      </c>
      <c r="F47" s="19">
        <f xml:space="preserve"> InpC!F$67</f>
        <v>0.25</v>
      </c>
      <c r="G47" s="15" t="str">
        <f xml:space="preserve"> InpC!G$67</f>
        <v>%</v>
      </c>
    </row>
    <row r="48" spans="1:7" x14ac:dyDescent="0.3">
      <c r="E48" s="11" t="str">
        <f t="shared" ref="E48:G48" si="10" xml:space="preserve"> E$30</f>
        <v>Equity Value of Beta Components</v>
      </c>
      <c r="F48" s="11">
        <f t="shared" si="10"/>
        <v>2453.2036002404193</v>
      </c>
      <c r="G48" s="11" t="str">
        <f t="shared" si="10"/>
        <v>INR Crs</v>
      </c>
    </row>
    <row r="49" spans="2:10" x14ac:dyDescent="0.3">
      <c r="E49" s="21" t="s">
        <v>116</v>
      </c>
      <c r="F49" s="21">
        <f>F48 *(1+F47)</f>
        <v>3066.5045003005243</v>
      </c>
      <c r="G49" s="21" t="s">
        <v>33</v>
      </c>
    </row>
    <row r="51" spans="2:10" x14ac:dyDescent="0.3">
      <c r="E51" s="15" t="str">
        <f xml:space="preserve"> InpC!E$68</f>
        <v>Target Acquisition Proportion</v>
      </c>
      <c r="F51" s="19">
        <f xml:space="preserve"> InpC!F$68</f>
        <v>1</v>
      </c>
      <c r="G51" s="15" t="str">
        <f xml:space="preserve"> InpC!G$68</f>
        <v>%</v>
      </c>
      <c r="H51" s="15"/>
      <c r="I51" s="15"/>
      <c r="J51" s="19"/>
    </row>
    <row r="52" spans="2:10" x14ac:dyDescent="0.3">
      <c r="E52" s="11" t="str">
        <f t="shared" ref="E52:G52" si="11" xml:space="preserve"> E$49</f>
        <v>Equity Value To be Paid</v>
      </c>
      <c r="F52" s="11">
        <f t="shared" si="11"/>
        <v>3066.5045003005243</v>
      </c>
      <c r="G52" s="11" t="str">
        <f t="shared" si="11"/>
        <v>INR Crs</v>
      </c>
    </row>
    <row r="53" spans="2:10" x14ac:dyDescent="0.3">
      <c r="E53" s="20" t="s">
        <v>120</v>
      </c>
      <c r="F53" s="20">
        <f>F51 * F52</f>
        <v>3066.5045003005243</v>
      </c>
      <c r="G53" s="20" t="s">
        <v>33</v>
      </c>
    </row>
    <row r="55" spans="2:10" x14ac:dyDescent="0.3">
      <c r="B55" s="3" t="s">
        <v>118</v>
      </c>
    </row>
    <row r="56" spans="2:10" x14ac:dyDescent="0.3">
      <c r="E56" s="15" t="str">
        <f xml:space="preserve"> InpC!E$71</f>
        <v>Cash</v>
      </c>
      <c r="F56" s="19">
        <f xml:space="preserve"> InpC!F$71</f>
        <v>0.8</v>
      </c>
      <c r="G56" s="15" t="str">
        <f xml:space="preserve"> InpC!G$71</f>
        <v>%</v>
      </c>
    </row>
    <row r="57" spans="2:10" x14ac:dyDescent="0.3">
      <c r="E57" s="15" t="str">
        <f xml:space="preserve"> InpC!E$72</f>
        <v>Stock</v>
      </c>
      <c r="F57" s="19">
        <f xml:space="preserve"> InpC!F$72</f>
        <v>0.19999999999999996</v>
      </c>
      <c r="G57" s="15" t="str">
        <f xml:space="preserve"> InpC!G$72</f>
        <v>%</v>
      </c>
    </row>
    <row r="59" spans="2:10" x14ac:dyDescent="0.3">
      <c r="E59" t="s">
        <v>121</v>
      </c>
      <c r="F59">
        <f>F$53 * F56</f>
        <v>2453.2036002404197</v>
      </c>
      <c r="G59" t="s">
        <v>33</v>
      </c>
    </row>
    <row r="60" spans="2:10" x14ac:dyDescent="0.3">
      <c r="E60" t="s">
        <v>122</v>
      </c>
      <c r="F60">
        <f>F$53 * F57</f>
        <v>613.30090006010471</v>
      </c>
      <c r="G60" t="s">
        <v>33</v>
      </c>
    </row>
    <row r="61" spans="2:10" x14ac:dyDescent="0.3">
      <c r="E61" s="21" t="s">
        <v>123</v>
      </c>
      <c r="F61" s="21">
        <f>SUM(F59:F60)</f>
        <v>3066.5045003005243</v>
      </c>
      <c r="G61" s="21" t="s">
        <v>33</v>
      </c>
    </row>
    <row r="63" spans="2:10" x14ac:dyDescent="0.3">
      <c r="E63" s="15" t="str">
        <f xml:space="preserve"> InpC!E$74</f>
        <v>Debt Raised in Lieu of Cash</v>
      </c>
      <c r="F63" s="19">
        <f xml:space="preserve"> InpC!F$74</f>
        <v>1</v>
      </c>
      <c r="G63" s="15" t="str">
        <f xml:space="preserve"> InpC!G$74</f>
        <v>%</v>
      </c>
    </row>
    <row r="64" spans="2:10" x14ac:dyDescent="0.3">
      <c r="E64" t="s">
        <v>125</v>
      </c>
      <c r="F64">
        <f>F59 * F63</f>
        <v>2453.2036002404197</v>
      </c>
      <c r="G64" t="s">
        <v>33</v>
      </c>
    </row>
    <row r="66" spans="2:13" x14ac:dyDescent="0.3">
      <c r="E66" s="11" t="str">
        <f t="shared" ref="E66:G66" si="12" xml:space="preserve"> E$60</f>
        <v>To be Paid in Stock</v>
      </c>
      <c r="F66" s="11">
        <f t="shared" si="12"/>
        <v>613.30090006010471</v>
      </c>
      <c r="G66" s="11" t="str">
        <f t="shared" si="12"/>
        <v>INR Crs</v>
      </c>
    </row>
    <row r="67" spans="2:13" x14ac:dyDescent="0.3">
      <c r="E67" s="15" t="str">
        <f xml:space="preserve"> InpC!E$76</f>
        <v>Alpha Ltd. Share Price</v>
      </c>
      <c r="F67" s="15">
        <f xml:space="preserve"> InpC!F$76</f>
        <v>65</v>
      </c>
      <c r="G67" s="15" t="str">
        <f xml:space="preserve"> InpC!G$76</f>
        <v>INR</v>
      </c>
    </row>
    <row r="68" spans="2:13" x14ac:dyDescent="0.3">
      <c r="E68" t="s">
        <v>127</v>
      </c>
      <c r="F68" s="29">
        <f>F66 / F67</f>
        <v>9.4353984624631497</v>
      </c>
      <c r="G68" t="s">
        <v>89</v>
      </c>
    </row>
    <row r="70" spans="2:13" x14ac:dyDescent="0.3">
      <c r="B70" s="3" t="s">
        <v>130</v>
      </c>
    </row>
    <row r="71" spans="2:13" x14ac:dyDescent="0.3">
      <c r="E71" s="15" t="str">
        <f xml:space="preserve"> InpC!E$78</f>
        <v>Transaction Expenses</v>
      </c>
      <c r="F71" s="19">
        <f xml:space="preserve"> InpC!F$78</f>
        <v>0.01</v>
      </c>
      <c r="G71" s="15" t="str">
        <f xml:space="preserve"> InpC!G$78</f>
        <v>% of Transaction Value</v>
      </c>
    </row>
    <row r="72" spans="2:13" x14ac:dyDescent="0.3">
      <c r="E72" s="11" t="str">
        <f t="shared" ref="E72:G72" si="13" xml:space="preserve"> E$49</f>
        <v>Equity Value To be Paid</v>
      </c>
      <c r="F72" s="11">
        <f t="shared" si="13"/>
        <v>3066.5045003005243</v>
      </c>
      <c r="G72" s="11" t="str">
        <f t="shared" si="13"/>
        <v>INR Crs</v>
      </c>
    </row>
    <row r="73" spans="2:13" x14ac:dyDescent="0.3">
      <c r="E73" s="21" t="s">
        <v>131</v>
      </c>
      <c r="F73" s="21">
        <f>F71 * F72</f>
        <v>30.665045003005243</v>
      </c>
      <c r="G73" s="21" t="s">
        <v>33</v>
      </c>
    </row>
    <row r="75" spans="2:13" x14ac:dyDescent="0.3">
      <c r="B75" s="3" t="s">
        <v>132</v>
      </c>
    </row>
    <row r="76" spans="2:13" x14ac:dyDescent="0.3">
      <c r="J76" t="s">
        <v>133</v>
      </c>
      <c r="K76" t="s">
        <v>134</v>
      </c>
      <c r="L76" t="s">
        <v>135</v>
      </c>
      <c r="M76" t="s">
        <v>136</v>
      </c>
    </row>
    <row r="77" spans="2:13" x14ac:dyDescent="0.3">
      <c r="E77" s="15" t="str">
        <f xml:space="preserve"> InpC!E$33</f>
        <v>Fixed Assets</v>
      </c>
      <c r="J77" s="15">
        <f xml:space="preserve"> InpC!F$33</f>
        <v>2500</v>
      </c>
      <c r="K77" s="15">
        <f xml:space="preserve"> InpC!F$54</f>
        <v>950</v>
      </c>
      <c r="L77">
        <f>-F73</f>
        <v>-30.665045003005243</v>
      </c>
      <c r="M77">
        <f>SUM(J77:L77)</f>
        <v>3419.3349549969948</v>
      </c>
    </row>
    <row r="78" spans="2:13" x14ac:dyDescent="0.3">
      <c r="E78" s="15" t="str">
        <f xml:space="preserve"> InpC!E$34</f>
        <v>Working Capital</v>
      </c>
      <c r="J78" s="15">
        <f xml:space="preserve"> InpC!F$34</f>
        <v>1300</v>
      </c>
      <c r="K78" s="15">
        <f xml:space="preserve"> InpC!F$55</f>
        <v>480</v>
      </c>
      <c r="M78">
        <f t="shared" ref="M78:M80" si="14">SUM(J78:L78)</f>
        <v>1780</v>
      </c>
    </row>
    <row r="79" spans="2:13" x14ac:dyDescent="0.3">
      <c r="E79" s="15" t="str">
        <f xml:space="preserve"> InpC!E$35</f>
        <v>Cash</v>
      </c>
      <c r="J79" s="15">
        <f xml:space="preserve"> InpC!F$35</f>
        <v>400</v>
      </c>
      <c r="K79" s="15">
        <f xml:space="preserve"> InpC!F$56</f>
        <v>120</v>
      </c>
      <c r="M79">
        <f t="shared" si="14"/>
        <v>520</v>
      </c>
    </row>
    <row r="80" spans="2:13" x14ac:dyDescent="0.3">
      <c r="E80" s="15" t="s">
        <v>138</v>
      </c>
      <c r="J80" s="34"/>
      <c r="K80" s="34"/>
      <c r="L80">
        <f>F72 - K83</f>
        <v>2366.5045003005243</v>
      </c>
      <c r="M80">
        <f t="shared" si="14"/>
        <v>2366.5045003005243</v>
      </c>
    </row>
    <row r="81" spans="3:13" s="3" customFormat="1" x14ac:dyDescent="0.3">
      <c r="C81" s="32"/>
      <c r="E81" s="33" t="str">
        <f xml:space="preserve"> InpC!E$36</f>
        <v>Total Assets</v>
      </c>
      <c r="J81" s="33">
        <f xml:space="preserve"> InpC!F$36</f>
        <v>4200</v>
      </c>
      <c r="K81" s="33">
        <f xml:space="preserve"> InpC!F$57</f>
        <v>1550</v>
      </c>
      <c r="M81" s="3">
        <f>SUM(M77:M80)</f>
        <v>8085.8394552975196</v>
      </c>
    </row>
    <row r="82" spans="3:13" x14ac:dyDescent="0.3">
      <c r="E82" s="15"/>
      <c r="J82" s="15"/>
      <c r="K82" s="15"/>
    </row>
    <row r="83" spans="3:13" x14ac:dyDescent="0.3">
      <c r="E83" s="15" t="str">
        <f xml:space="preserve"> InpC!E$38</f>
        <v>Equity (Net Worth)</v>
      </c>
      <c r="J83" s="15">
        <f xml:space="preserve"> InpC!F$38</f>
        <v>2200</v>
      </c>
      <c r="K83" s="15">
        <f xml:space="preserve"> InpC!F$59</f>
        <v>700</v>
      </c>
      <c r="L83">
        <f>-K83 + F66 -F73</f>
        <v>-117.36414494290054</v>
      </c>
      <c r="M83">
        <f t="shared" ref="M83:M85" si="15">SUM(J83:L83)</f>
        <v>2782.6358550570994</v>
      </c>
    </row>
    <row r="84" spans="3:13" x14ac:dyDescent="0.3">
      <c r="E84" s="15" t="str">
        <f xml:space="preserve"> InpC!E$39</f>
        <v>Long-term Debt</v>
      </c>
      <c r="J84" s="15">
        <f xml:space="preserve"> InpC!F$39</f>
        <v>1000</v>
      </c>
      <c r="K84" s="15">
        <f xml:space="preserve"> InpC!F$60</f>
        <v>400</v>
      </c>
      <c r="L84">
        <f>F64</f>
        <v>2453.2036002404197</v>
      </c>
      <c r="M84">
        <f t="shared" si="15"/>
        <v>3853.2036002404197</v>
      </c>
    </row>
    <row r="85" spans="3:13" x14ac:dyDescent="0.3">
      <c r="E85" s="15" t="str">
        <f xml:space="preserve"> InpC!E$40</f>
        <v>Other Liabilities</v>
      </c>
      <c r="J85" s="15">
        <f xml:space="preserve"> InpC!F$40</f>
        <v>1000</v>
      </c>
      <c r="K85" s="15">
        <f xml:space="preserve"> InpC!F$61</f>
        <v>450</v>
      </c>
      <c r="M85">
        <f t="shared" si="15"/>
        <v>1450</v>
      </c>
    </row>
    <row r="86" spans="3:13" s="3" customFormat="1" x14ac:dyDescent="0.3">
      <c r="C86" s="32"/>
      <c r="E86" s="33" t="str">
        <f xml:space="preserve"> InpC!E$41</f>
        <v>Total Liabilities</v>
      </c>
      <c r="J86" s="33">
        <f xml:space="preserve"> InpC!F$41</f>
        <v>4200</v>
      </c>
      <c r="K86" s="33">
        <f xml:space="preserve"> InpC!F$62</f>
        <v>1550</v>
      </c>
      <c r="M86" s="3">
        <f>SUM(M83:M85)</f>
        <v>8085.8394552975187</v>
      </c>
    </row>
    <row r="88" spans="3:13" x14ac:dyDescent="0.3">
      <c r="E88" t="s">
        <v>137</v>
      </c>
      <c r="J88">
        <f xml:space="preserve"> ROUND(J81 - J86, 2)</f>
        <v>0</v>
      </c>
      <c r="K88">
        <f xml:space="preserve"> ROUND(K81 - K86, 2)</f>
        <v>0</v>
      </c>
      <c r="M88">
        <f xml:space="preserve"> ROUND(M81 - M86, 2)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080D-42B8-438D-BF2D-F9B262F10E35}">
  <sheetPr>
    <tabColor rgb="FF92D050"/>
  </sheetPr>
  <dimension ref="A1:O147"/>
  <sheetViews>
    <sheetView showGridLines="0" tabSelected="1" zoomScale="130" zoomScaleNormal="130" workbookViewId="0">
      <pane xSplit="9" ySplit="6" topLeftCell="J58" activePane="bottomRight" state="frozen"/>
      <selection activeCell="O61" sqref="O61"/>
      <selection pane="topRight" activeCell="O61" sqref="O61"/>
      <selection pane="bottomLeft" activeCell="O61" sqref="O61"/>
      <selection pane="bottomRight" activeCell="K147" sqref="K147"/>
    </sheetView>
  </sheetViews>
  <sheetFormatPr defaultColWidth="0" defaultRowHeight="13" x14ac:dyDescent="0.3"/>
  <cols>
    <col min="1" max="2" width="1.81640625" style="3" customWidth="1"/>
    <col min="3" max="3" width="1.81640625" style="5" customWidth="1"/>
    <col min="4" max="4" width="1.81640625" customWidth="1"/>
    <col min="5" max="5" width="40.81640625" customWidth="1"/>
    <col min="6" max="8" width="10.08984375" bestFit="1" customWidth="1"/>
    <col min="9" max="9" width="1.81640625" customWidth="1"/>
    <col min="10" max="10" width="10.08984375" customWidth="1"/>
    <col min="11" max="15" width="10.08984375" bestFit="1" customWidth="1"/>
  </cols>
  <sheetData>
    <row r="1" spans="1:15" x14ac:dyDescent="0.3">
      <c r="E1" s="15" t="str">
        <f xml:space="preserve"> Alpha!E$13</f>
        <v>Period Start</v>
      </c>
      <c r="F1" s="15">
        <f xml:space="preserve"> Alpha!F$13</f>
        <v>0</v>
      </c>
      <c r="G1" s="15" t="str">
        <f xml:space="preserve"> Alpha!G$13</f>
        <v>Date</v>
      </c>
      <c r="H1" s="15">
        <f xml:space="preserve"> Alpha!H$13</f>
        <v>0</v>
      </c>
      <c r="I1" s="15">
        <f xml:space="preserve"> Alpha!I$13</f>
        <v>0</v>
      </c>
      <c r="J1" s="16">
        <f xml:space="preserve"> Alpha!J$13</f>
        <v>45658</v>
      </c>
      <c r="K1" s="16">
        <f xml:space="preserve"> Alpha!K$13</f>
        <v>46023</v>
      </c>
      <c r="L1" s="16">
        <f xml:space="preserve"> Alpha!L$13</f>
        <v>46388</v>
      </c>
      <c r="M1" s="16">
        <f xml:space="preserve"> Alpha!M$13</f>
        <v>46753</v>
      </c>
      <c r="N1" s="16">
        <f xml:space="preserve"> Alpha!N$13</f>
        <v>47119</v>
      </c>
      <c r="O1" s="16">
        <f xml:space="preserve"> Alpha!O$13</f>
        <v>47484</v>
      </c>
    </row>
    <row r="2" spans="1:15" x14ac:dyDescent="0.3">
      <c r="E2" s="15" t="str">
        <f xml:space="preserve"> Alpha!E$14</f>
        <v>Period End</v>
      </c>
      <c r="F2" s="15">
        <f xml:space="preserve"> Alpha!F$14</f>
        <v>0</v>
      </c>
      <c r="G2" s="15" t="str">
        <f xml:space="preserve"> Alpha!G$14</f>
        <v>Date</v>
      </c>
      <c r="H2" s="15">
        <f xml:space="preserve"> Alpha!H$14</f>
        <v>0</v>
      </c>
      <c r="I2" s="15">
        <f xml:space="preserve"> Alpha!I$14</f>
        <v>0</v>
      </c>
      <c r="J2" s="16">
        <f xml:space="preserve"> Alpha!J$14</f>
        <v>46022</v>
      </c>
      <c r="K2" s="16">
        <f xml:space="preserve"> Alpha!K$14</f>
        <v>46387</v>
      </c>
      <c r="L2" s="16">
        <f xml:space="preserve"> Alpha!L$14</f>
        <v>46752</v>
      </c>
      <c r="M2" s="16">
        <f xml:space="preserve"> Alpha!M$14</f>
        <v>47118</v>
      </c>
      <c r="N2" s="16">
        <f xml:space="preserve"> Alpha!N$14</f>
        <v>47483</v>
      </c>
      <c r="O2" s="16">
        <f xml:space="preserve"> Alpha!O$14</f>
        <v>47848</v>
      </c>
    </row>
    <row r="3" spans="1:15" x14ac:dyDescent="0.3">
      <c r="E3" s="15" t="str">
        <f xml:space="preserve"> Alpha!E$15</f>
        <v>Number of Days</v>
      </c>
      <c r="F3" s="15">
        <f xml:space="preserve"> Alpha!F$15</f>
        <v>0</v>
      </c>
      <c r="G3" s="15" t="str">
        <f xml:space="preserve"> Alpha!G$15</f>
        <v>Days</v>
      </c>
      <c r="H3" s="15">
        <f xml:space="preserve"> Alpha!H$15</f>
        <v>0</v>
      </c>
      <c r="I3" s="15">
        <f xml:space="preserve"> Alpha!I$15</f>
        <v>0</v>
      </c>
      <c r="J3" s="15">
        <f xml:space="preserve"> Alpha!J$15</f>
        <v>365</v>
      </c>
      <c r="K3" s="15">
        <f xml:space="preserve"> Alpha!K$15</f>
        <v>365</v>
      </c>
      <c r="L3" s="15">
        <f xml:space="preserve"> Alpha!L$15</f>
        <v>365</v>
      </c>
      <c r="M3" s="15">
        <f xml:space="preserve"> Alpha!M$15</f>
        <v>366</v>
      </c>
      <c r="N3" s="15">
        <f xml:space="preserve"> Alpha!N$15</f>
        <v>365</v>
      </c>
      <c r="O3" s="15">
        <f xml:space="preserve"> Alpha!O$15</f>
        <v>365</v>
      </c>
    </row>
    <row r="4" spans="1:15" x14ac:dyDescent="0.3">
      <c r="E4" s="15" t="str">
        <f xml:space="preserve"> Alpha!E$16</f>
        <v>Financial Year</v>
      </c>
      <c r="F4" s="15">
        <f xml:space="preserve"> Alpha!F$16</f>
        <v>0</v>
      </c>
      <c r="G4" s="15" t="str">
        <f xml:space="preserve"> Alpha!G$16</f>
        <v>Year</v>
      </c>
      <c r="H4" s="15">
        <f xml:space="preserve"> Alpha!H$16</f>
        <v>0</v>
      </c>
      <c r="I4" s="15">
        <f xml:space="preserve"> Alpha!I$16</f>
        <v>0</v>
      </c>
      <c r="J4" s="27">
        <f xml:space="preserve"> Alpha!J$16</f>
        <v>2025</v>
      </c>
      <c r="K4" s="27">
        <f xml:space="preserve"> Alpha!K$16</f>
        <v>2026</v>
      </c>
      <c r="L4" s="27">
        <f xml:space="preserve"> Alpha!L$16</f>
        <v>2027</v>
      </c>
      <c r="M4" s="27">
        <f xml:space="preserve"> Alpha!M$16</f>
        <v>2028</v>
      </c>
      <c r="N4" s="27">
        <f xml:space="preserve"> Alpha!N$16</f>
        <v>2029</v>
      </c>
      <c r="O4" s="27">
        <f xml:space="preserve"> Alpha!O$16</f>
        <v>2030</v>
      </c>
    </row>
    <row r="6" spans="1:15" x14ac:dyDescent="0.3">
      <c r="F6" t="s">
        <v>3</v>
      </c>
      <c r="G6" t="s">
        <v>4</v>
      </c>
      <c r="H6" t="s">
        <v>5</v>
      </c>
    </row>
    <row r="7" spans="1:15" s="1" customFormat="1" x14ac:dyDescent="0.3">
      <c r="A7" s="2" t="s">
        <v>28</v>
      </c>
      <c r="B7" s="2"/>
      <c r="C7" s="4"/>
    </row>
    <row r="9" spans="1:15" x14ac:dyDescent="0.3">
      <c r="B9" s="3" t="s">
        <v>29</v>
      </c>
    </row>
    <row r="10" spans="1:15" x14ac:dyDescent="0.3">
      <c r="E10" s="11" t="str">
        <f xml:space="preserve"> E$75</f>
        <v>Total Revenue</v>
      </c>
      <c r="F10" s="11">
        <f t="shared" ref="F10:O10" si="0" xml:space="preserve"> F$75</f>
        <v>0</v>
      </c>
      <c r="G10" s="11" t="str">
        <f t="shared" si="0"/>
        <v>INR Crs</v>
      </c>
      <c r="H10" s="11">
        <f t="shared" si="0"/>
        <v>0</v>
      </c>
      <c r="I10" s="11">
        <f t="shared" si="0"/>
        <v>0</v>
      </c>
      <c r="J10" s="11">
        <f t="shared" si="0"/>
        <v>6200</v>
      </c>
      <c r="K10" s="11">
        <f t="shared" si="0"/>
        <v>6720</v>
      </c>
      <c r="L10" s="11">
        <f t="shared" si="0"/>
        <v>7284</v>
      </c>
      <c r="M10" s="11">
        <f t="shared" si="0"/>
        <v>7895.76</v>
      </c>
      <c r="N10" s="11">
        <f t="shared" si="0"/>
        <v>8559.3648000000012</v>
      </c>
      <c r="O10" s="11">
        <f t="shared" si="0"/>
        <v>9279.2523840000031</v>
      </c>
    </row>
    <row r="11" spans="1:15" x14ac:dyDescent="0.3">
      <c r="E11" s="11" t="str">
        <f xml:space="preserve"> E$86</f>
        <v>Total Operational Expenditure Post- Synergies</v>
      </c>
      <c r="F11" s="11">
        <f t="shared" ref="F11:O11" si="1" xml:space="preserve"> F$86</f>
        <v>0</v>
      </c>
      <c r="G11" s="11" t="str">
        <f t="shared" si="1"/>
        <v>INR Crs</v>
      </c>
      <c r="H11" s="11">
        <f t="shared" si="1"/>
        <v>0</v>
      </c>
      <c r="I11" s="11">
        <f t="shared" si="1"/>
        <v>0</v>
      </c>
      <c r="J11" s="11">
        <f t="shared" si="1"/>
        <v>4764</v>
      </c>
      <c r="K11" s="11">
        <f t="shared" si="1"/>
        <v>5249.2</v>
      </c>
      <c r="L11" s="11">
        <f t="shared" si="1"/>
        <v>5485.3600000000006</v>
      </c>
      <c r="M11" s="11">
        <f t="shared" si="1"/>
        <v>5950.9168</v>
      </c>
      <c r="N11" s="11">
        <f t="shared" si="1"/>
        <v>6455.7509440000013</v>
      </c>
      <c r="O11" s="11">
        <f t="shared" si="1"/>
        <v>7003.2078995200018</v>
      </c>
    </row>
    <row r="12" spans="1:15" s="21" customFormat="1" x14ac:dyDescent="0.3">
      <c r="C12" s="23"/>
      <c r="E12" s="21" t="s">
        <v>37</v>
      </c>
      <c r="F12" s="21">
        <v>0</v>
      </c>
      <c r="G12" s="21" t="s">
        <v>33</v>
      </c>
      <c r="J12" s="21">
        <f>J10 - J11</f>
        <v>1436</v>
      </c>
      <c r="K12" s="21">
        <f t="shared" ref="K12:O12" si="2">K10 - K11</f>
        <v>1470.8000000000002</v>
      </c>
      <c r="L12" s="21">
        <f t="shared" si="2"/>
        <v>1798.6399999999994</v>
      </c>
      <c r="M12" s="21">
        <f t="shared" si="2"/>
        <v>1944.8432000000003</v>
      </c>
      <c r="N12" s="21">
        <f t="shared" si="2"/>
        <v>2103.6138559999999</v>
      </c>
      <c r="O12" s="21">
        <f t="shared" si="2"/>
        <v>2276.0444844800013</v>
      </c>
    </row>
    <row r="14" spans="1:15" x14ac:dyDescent="0.3">
      <c r="E14" s="11" t="str">
        <f t="shared" ref="E14:O14" si="3" xml:space="preserve"> E$91</f>
        <v>Depreciation</v>
      </c>
      <c r="F14" s="11">
        <f t="shared" si="3"/>
        <v>0</v>
      </c>
      <c r="G14" s="11" t="str">
        <f t="shared" si="3"/>
        <v>INR Crs</v>
      </c>
      <c r="H14" s="11">
        <f t="shared" si="3"/>
        <v>0</v>
      </c>
      <c r="I14" s="11">
        <f t="shared" si="3"/>
        <v>0</v>
      </c>
      <c r="J14" s="11">
        <f t="shared" si="3"/>
        <v>186</v>
      </c>
      <c r="K14" s="11">
        <f t="shared" si="3"/>
        <v>201.6</v>
      </c>
      <c r="L14" s="11">
        <f t="shared" si="3"/>
        <v>218.51999999999998</v>
      </c>
      <c r="M14" s="11">
        <f t="shared" si="3"/>
        <v>236.87279999999998</v>
      </c>
      <c r="N14" s="11">
        <f t="shared" si="3"/>
        <v>256.78094400000003</v>
      </c>
      <c r="O14" s="11">
        <f t="shared" si="3"/>
        <v>278.37757152000006</v>
      </c>
    </row>
    <row r="15" spans="1:15" s="21" customFormat="1" x14ac:dyDescent="0.3">
      <c r="C15" s="23"/>
      <c r="E15" s="21" t="s">
        <v>44</v>
      </c>
      <c r="G15" s="21" t="s">
        <v>33</v>
      </c>
      <c r="J15" s="21">
        <f>J12 - J14</f>
        <v>1250</v>
      </c>
      <c r="K15" s="21">
        <f t="shared" ref="K15:O15" si="4">K12 - K14</f>
        <v>1269.2000000000003</v>
      </c>
      <c r="L15" s="21">
        <f t="shared" si="4"/>
        <v>1580.1199999999994</v>
      </c>
      <c r="M15" s="21">
        <f t="shared" si="4"/>
        <v>1707.9704000000002</v>
      </c>
      <c r="N15" s="21">
        <f t="shared" si="4"/>
        <v>1846.8329119999999</v>
      </c>
      <c r="O15" s="21">
        <f t="shared" si="4"/>
        <v>1997.6669129600014</v>
      </c>
    </row>
    <row r="17" spans="2:15" x14ac:dyDescent="0.3">
      <c r="E17" s="11" t="str">
        <f t="shared" ref="E17:O17" si="5" xml:space="preserve"> E$102</f>
        <v>Interest Expense</v>
      </c>
      <c r="F17" s="11">
        <f t="shared" si="5"/>
        <v>0</v>
      </c>
      <c r="G17" s="11" t="str">
        <f t="shared" si="5"/>
        <v>INR Crs</v>
      </c>
      <c r="H17" s="11">
        <f t="shared" si="5"/>
        <v>0</v>
      </c>
      <c r="I17" s="11">
        <f t="shared" si="5"/>
        <v>0</v>
      </c>
      <c r="J17" s="11">
        <f t="shared" si="5"/>
        <v>0</v>
      </c>
      <c r="K17" s="11">
        <f t="shared" si="5"/>
        <v>423.85239602644617</v>
      </c>
      <c r="L17" s="11">
        <f t="shared" si="5"/>
        <v>423.85239602644617</v>
      </c>
      <c r="M17" s="11">
        <f t="shared" si="5"/>
        <v>412.85239602644617</v>
      </c>
      <c r="N17" s="11">
        <f t="shared" si="5"/>
        <v>401.85239602644617</v>
      </c>
      <c r="O17" s="11">
        <f t="shared" si="5"/>
        <v>390.85239602644617</v>
      </c>
    </row>
    <row r="18" spans="2:15" s="21" customFormat="1" x14ac:dyDescent="0.3">
      <c r="C18" s="23"/>
      <c r="E18" s="21" t="s">
        <v>66</v>
      </c>
      <c r="G18" s="21" t="s">
        <v>33</v>
      </c>
      <c r="J18" s="21">
        <f>J15 - J17</f>
        <v>1250</v>
      </c>
      <c r="K18" s="21">
        <f t="shared" ref="K18:O18" si="6">K15 - K17</f>
        <v>845.3476039735541</v>
      </c>
      <c r="L18" s="21">
        <f t="shared" si="6"/>
        <v>1156.2676039735534</v>
      </c>
      <c r="M18" s="21">
        <f t="shared" si="6"/>
        <v>1295.1180039735541</v>
      </c>
      <c r="N18" s="21">
        <f t="shared" si="6"/>
        <v>1444.9805159735538</v>
      </c>
      <c r="O18" s="21">
        <f t="shared" si="6"/>
        <v>1606.8145169335553</v>
      </c>
    </row>
    <row r="20" spans="2:15" x14ac:dyDescent="0.3">
      <c r="E20" s="11" t="str">
        <f t="shared" ref="E20:O20" si="7" xml:space="preserve"> E$107</f>
        <v>Corporate Income Tax</v>
      </c>
      <c r="F20" s="11">
        <f t="shared" si="7"/>
        <v>0</v>
      </c>
      <c r="G20" s="11" t="str">
        <f t="shared" si="7"/>
        <v>INR Crs</v>
      </c>
      <c r="H20" s="11">
        <f t="shared" si="7"/>
        <v>0</v>
      </c>
      <c r="I20" s="11">
        <f t="shared" si="7"/>
        <v>0</v>
      </c>
      <c r="J20" s="11">
        <f t="shared" si="7"/>
        <v>312.5</v>
      </c>
      <c r="K20" s="11">
        <f t="shared" si="7"/>
        <v>211.33690099338853</v>
      </c>
      <c r="L20" s="11">
        <f t="shared" si="7"/>
        <v>289.06690099338834</v>
      </c>
      <c r="M20" s="11">
        <f t="shared" si="7"/>
        <v>323.77950099338852</v>
      </c>
      <c r="N20" s="11">
        <f t="shared" si="7"/>
        <v>361.24512899338845</v>
      </c>
      <c r="O20" s="11">
        <f t="shared" si="7"/>
        <v>401.70362923338882</v>
      </c>
    </row>
    <row r="21" spans="2:15" s="21" customFormat="1" x14ac:dyDescent="0.3">
      <c r="C21" s="23"/>
      <c r="E21" s="21" t="s">
        <v>70</v>
      </c>
      <c r="G21" s="21" t="s">
        <v>33</v>
      </c>
      <c r="J21" s="21">
        <f>J18-J20</f>
        <v>937.5</v>
      </c>
      <c r="K21" s="21">
        <f t="shared" ref="K21:O21" si="8">K18-K20</f>
        <v>634.01070298016555</v>
      </c>
      <c r="L21" s="21">
        <f t="shared" si="8"/>
        <v>867.20070298016503</v>
      </c>
      <c r="M21" s="21">
        <f t="shared" si="8"/>
        <v>971.33850298016557</v>
      </c>
      <c r="N21" s="21">
        <f t="shared" si="8"/>
        <v>1083.7353869801655</v>
      </c>
      <c r="O21" s="21">
        <f t="shared" si="8"/>
        <v>1205.1108877001666</v>
      </c>
    </row>
    <row r="23" spans="2:15" x14ac:dyDescent="0.3">
      <c r="B23" s="3" t="s">
        <v>155</v>
      </c>
    </row>
    <row r="24" spans="2:15" x14ac:dyDescent="0.3">
      <c r="E24" s="15" t="str">
        <f xml:space="preserve"> Alpha!E$48</f>
        <v>Shares Outstanding</v>
      </c>
      <c r="F24" s="15">
        <f xml:space="preserve"> Alpha!F$48</f>
        <v>0</v>
      </c>
      <c r="G24" s="15" t="str">
        <f xml:space="preserve"> Alpha!G$48</f>
        <v>Crores</v>
      </c>
      <c r="H24" s="15">
        <f xml:space="preserve"> Alpha!H$48</f>
        <v>0</v>
      </c>
      <c r="I24" s="15">
        <f xml:space="preserve"> Alpha!I$48</f>
        <v>0</v>
      </c>
      <c r="J24" s="15">
        <f xml:space="preserve"> Alpha!J$48</f>
        <v>100</v>
      </c>
      <c r="K24" s="15">
        <f xml:space="preserve"> Alpha!K$48</f>
        <v>100</v>
      </c>
      <c r="L24" s="15">
        <f xml:space="preserve"> Alpha!L$48</f>
        <v>100</v>
      </c>
      <c r="M24" s="15">
        <f xml:space="preserve"> Alpha!M$48</f>
        <v>100</v>
      </c>
      <c r="N24" s="15">
        <f xml:space="preserve"> Alpha!N$48</f>
        <v>100</v>
      </c>
      <c r="O24" s="15">
        <f xml:space="preserve"> Alpha!O$48</f>
        <v>100</v>
      </c>
    </row>
    <row r="25" spans="2:15" x14ac:dyDescent="0.3">
      <c r="E25" s="15" t="str">
        <f xml:space="preserve"> Alpha!E$49</f>
        <v>Earnings Per Share</v>
      </c>
      <c r="F25" s="15">
        <f xml:space="preserve"> Alpha!F$49</f>
        <v>0</v>
      </c>
      <c r="G25" s="15" t="str">
        <f xml:space="preserve"> Alpha!G$49</f>
        <v>INR</v>
      </c>
      <c r="H25" s="15">
        <f xml:space="preserve"> Alpha!H$49</f>
        <v>0</v>
      </c>
      <c r="I25" s="15">
        <f xml:space="preserve"> Alpha!I$49</f>
        <v>0</v>
      </c>
      <c r="J25" s="35">
        <f xml:space="preserve"> Alpha!J$49</f>
        <v>6.5</v>
      </c>
      <c r="K25" s="35">
        <f xml:space="preserve"> Alpha!K$49</f>
        <v>6.9450000000000003</v>
      </c>
      <c r="L25" s="35">
        <f xml:space="preserve"> Alpha!L$49</f>
        <v>7.5605999999999991</v>
      </c>
      <c r="M25" s="35">
        <f xml:space="preserve"> Alpha!M$49</f>
        <v>8.2254480000000019</v>
      </c>
      <c r="N25" s="35">
        <f xml:space="preserve"> Alpha!N$49</f>
        <v>8.9434838400000007</v>
      </c>
      <c r="O25" s="35">
        <f xml:space="preserve"> Alpha!O$49</f>
        <v>9.7189625472000021</v>
      </c>
    </row>
    <row r="27" spans="2:15" x14ac:dyDescent="0.3">
      <c r="B27" s="3" t="s">
        <v>155</v>
      </c>
    </row>
    <row r="28" spans="2:15" x14ac:dyDescent="0.3">
      <c r="E28" s="15" t="str">
        <f xml:space="preserve"> Transaction_Workings!E$68</f>
        <v>New Shares to be issued</v>
      </c>
      <c r="F28" s="36">
        <f xml:space="preserve"> Transaction_Workings!F$68</f>
        <v>9.4353984624631497</v>
      </c>
      <c r="G28" s="15" t="str">
        <f xml:space="preserve"> Transaction_Workings!G$68</f>
        <v>Crores</v>
      </c>
    </row>
    <row r="29" spans="2:15" x14ac:dyDescent="0.3">
      <c r="E29" t="s">
        <v>154</v>
      </c>
      <c r="G29" t="s">
        <v>89</v>
      </c>
      <c r="J29" s="29">
        <f>J24</f>
        <v>100</v>
      </c>
      <c r="K29" s="29">
        <f>J29+$F$28</f>
        <v>109.43539846246316</v>
      </c>
      <c r="L29" s="29">
        <f>K29</f>
        <v>109.43539846246316</v>
      </c>
      <c r="M29" s="29">
        <f t="shared" ref="M29:O29" si="9">L29</f>
        <v>109.43539846246316</v>
      </c>
      <c r="N29" s="29">
        <f t="shared" si="9"/>
        <v>109.43539846246316</v>
      </c>
      <c r="O29" s="29">
        <f t="shared" si="9"/>
        <v>109.43539846246316</v>
      </c>
    </row>
    <row r="30" spans="2:15" x14ac:dyDescent="0.3">
      <c r="E30" t="s">
        <v>90</v>
      </c>
      <c r="G30" t="s">
        <v>91</v>
      </c>
      <c r="J30" s="30">
        <f>J21/ J29</f>
        <v>9.375</v>
      </c>
      <c r="K30" s="30">
        <f t="shared" ref="K30:O30" si="10">K21/ K29</f>
        <v>5.7934700461444759</v>
      </c>
      <c r="L30" s="30">
        <f t="shared" si="10"/>
        <v>7.9243162191036278</v>
      </c>
      <c r="M30" s="30">
        <f t="shared" si="10"/>
        <v>8.8759077650120606</v>
      </c>
      <c r="N30" s="30">
        <f t="shared" si="10"/>
        <v>9.9029692604618393</v>
      </c>
      <c r="O30" s="30">
        <f t="shared" si="10"/>
        <v>11.012075659536482</v>
      </c>
    </row>
    <row r="32" spans="2:15" x14ac:dyDescent="0.3">
      <c r="E32" t="s">
        <v>156</v>
      </c>
      <c r="K32" s="30">
        <f>K30 - K25</f>
        <v>-1.1515299538555244</v>
      </c>
      <c r="L32" s="30">
        <f t="shared" ref="L32:O32" si="11">L30 - L25</f>
        <v>0.36371621910362872</v>
      </c>
      <c r="M32" s="30">
        <f t="shared" si="11"/>
        <v>0.65045976501205871</v>
      </c>
      <c r="N32" s="30">
        <f t="shared" si="11"/>
        <v>0.9594854204618386</v>
      </c>
      <c r="O32" s="30">
        <f t="shared" si="11"/>
        <v>1.2931131123364796</v>
      </c>
    </row>
    <row r="33" spans="1:15" x14ac:dyDescent="0.3">
      <c r="E33" t="s">
        <v>157</v>
      </c>
      <c r="K33" s="18">
        <f>K32/ K25</f>
        <v>-0.16580704879129221</v>
      </c>
      <c r="L33" s="18">
        <f t="shared" ref="L33:O33" si="12">L32/ L25</f>
        <v>4.8106792993099591E-2</v>
      </c>
      <c r="M33" s="18">
        <f t="shared" si="12"/>
        <v>7.9078946826003707E-2</v>
      </c>
      <c r="N33" s="18">
        <f t="shared" si="12"/>
        <v>0.1072831837824217</v>
      </c>
      <c r="O33" s="18">
        <f t="shared" si="12"/>
        <v>0.13305052942188988</v>
      </c>
    </row>
    <row r="35" spans="1:15" x14ac:dyDescent="0.3">
      <c r="B35" s="3" t="s">
        <v>46</v>
      </c>
    </row>
    <row r="36" spans="1:15" x14ac:dyDescent="0.3">
      <c r="C36" s="5" t="s">
        <v>51</v>
      </c>
    </row>
    <row r="37" spans="1:15" x14ac:dyDescent="0.3">
      <c r="E37" t="s">
        <v>47</v>
      </c>
      <c r="G37" t="s">
        <v>33</v>
      </c>
      <c r="J37" s="15">
        <f xml:space="preserve"> Transaction_Workings!M$77</f>
        <v>3419.3349549969948</v>
      </c>
      <c r="K37">
        <f>J37- K14</f>
        <v>3217.7349549969949</v>
      </c>
      <c r="L37">
        <f t="shared" ref="L37:O37" si="13">K37- L14</f>
        <v>2999.2149549969949</v>
      </c>
      <c r="M37">
        <f t="shared" si="13"/>
        <v>2762.3421549969949</v>
      </c>
      <c r="N37">
        <f t="shared" si="13"/>
        <v>2505.5612109969948</v>
      </c>
      <c r="O37">
        <f t="shared" si="13"/>
        <v>2227.1836394769948</v>
      </c>
    </row>
    <row r="38" spans="1:15" x14ac:dyDescent="0.3">
      <c r="E38" t="s">
        <v>48</v>
      </c>
      <c r="G38" t="s">
        <v>33</v>
      </c>
      <c r="J38" s="15">
        <f xml:space="preserve"> Transaction_Workings!M$78</f>
        <v>1780</v>
      </c>
      <c r="K38">
        <f>J38</f>
        <v>1780</v>
      </c>
      <c r="L38">
        <f t="shared" ref="L38:O38" si="14">K38</f>
        <v>1780</v>
      </c>
      <c r="M38">
        <f t="shared" si="14"/>
        <v>1780</v>
      </c>
      <c r="N38">
        <f t="shared" si="14"/>
        <v>1780</v>
      </c>
      <c r="O38">
        <f t="shared" si="14"/>
        <v>1780</v>
      </c>
    </row>
    <row r="39" spans="1:15" x14ac:dyDescent="0.3">
      <c r="E39" t="s">
        <v>49</v>
      </c>
      <c r="G39" t="s">
        <v>33</v>
      </c>
      <c r="J39" s="15">
        <f xml:space="preserve"> Transaction_Workings!M$79</f>
        <v>520</v>
      </c>
      <c r="K39">
        <f>K65</f>
        <v>1355.6107029801656</v>
      </c>
      <c r="L39">
        <f t="shared" ref="L39:O39" si="15">L65</f>
        <v>2341.3314059603308</v>
      </c>
      <c r="M39">
        <f t="shared" si="15"/>
        <v>3449.5427089404966</v>
      </c>
      <c r="N39">
        <f t="shared" si="15"/>
        <v>4690.0590399206621</v>
      </c>
      <c r="O39">
        <f t="shared" si="15"/>
        <v>6073.5474991408282</v>
      </c>
    </row>
    <row r="40" spans="1:15" x14ac:dyDescent="0.3">
      <c r="E40" t="s">
        <v>138</v>
      </c>
      <c r="G40" t="s">
        <v>33</v>
      </c>
      <c r="J40" s="15">
        <f xml:space="preserve"> Transaction_Workings!M$80</f>
        <v>2366.5045003005243</v>
      </c>
      <c r="K40">
        <f>J40</f>
        <v>2366.5045003005243</v>
      </c>
      <c r="L40">
        <f t="shared" ref="L40:O40" si="16">K40</f>
        <v>2366.5045003005243</v>
      </c>
      <c r="M40">
        <f t="shared" si="16"/>
        <v>2366.5045003005243</v>
      </c>
      <c r="N40">
        <f t="shared" si="16"/>
        <v>2366.5045003005243</v>
      </c>
      <c r="O40">
        <f t="shared" si="16"/>
        <v>2366.5045003005243</v>
      </c>
    </row>
    <row r="41" spans="1:15" s="20" customFormat="1" x14ac:dyDescent="0.3">
      <c r="A41" s="21"/>
      <c r="B41" s="21"/>
      <c r="C41" s="22"/>
      <c r="E41" s="21" t="s">
        <v>50</v>
      </c>
      <c r="F41" s="21"/>
      <c r="G41" s="21" t="s">
        <v>33</v>
      </c>
      <c r="J41" s="20">
        <f>SUM(J37:J40)</f>
        <v>8085.8394552975196</v>
      </c>
      <c r="K41" s="20">
        <f>SUM(K37:K40)</f>
        <v>8719.8501582776844</v>
      </c>
      <c r="L41" s="20">
        <f t="shared" ref="L41:O41" si="17">SUM(L37:L40)</f>
        <v>9487.0508612578487</v>
      </c>
      <c r="M41" s="20">
        <f t="shared" si="17"/>
        <v>10358.389364238017</v>
      </c>
      <c r="N41" s="20">
        <f t="shared" si="17"/>
        <v>11342.124751218184</v>
      </c>
      <c r="O41" s="20">
        <f t="shared" si="17"/>
        <v>12447.235638918348</v>
      </c>
    </row>
    <row r="43" spans="1:15" x14ac:dyDescent="0.3">
      <c r="C43" s="5" t="s">
        <v>52</v>
      </c>
    </row>
    <row r="44" spans="1:15" x14ac:dyDescent="0.3">
      <c r="E44" t="s">
        <v>53</v>
      </c>
      <c r="G44" t="s">
        <v>33</v>
      </c>
      <c r="J44" s="15">
        <f xml:space="preserve"> Transaction_Workings!M$83</f>
        <v>2782.6358550570994</v>
      </c>
      <c r="K44">
        <f>J44 + K21</f>
        <v>3416.6465580372651</v>
      </c>
      <c r="L44">
        <f t="shared" ref="L44:O44" si="18">K44 + L21</f>
        <v>4283.8472610174304</v>
      </c>
      <c r="M44">
        <f t="shared" si="18"/>
        <v>5255.185763997596</v>
      </c>
      <c r="N44">
        <f t="shared" si="18"/>
        <v>6338.9211509777615</v>
      </c>
      <c r="O44">
        <f t="shared" si="18"/>
        <v>7544.0320386779276</v>
      </c>
    </row>
    <row r="45" spans="1:15" x14ac:dyDescent="0.3">
      <c r="E45" t="s">
        <v>54</v>
      </c>
      <c r="G45" t="s">
        <v>33</v>
      </c>
      <c r="J45" s="15">
        <f xml:space="preserve"> Transaction_Workings!M$84</f>
        <v>3853.2036002404197</v>
      </c>
      <c r="K45" s="11">
        <f xml:space="preserve"> K$100</f>
        <v>3853.2036002404197</v>
      </c>
      <c r="L45" s="11">
        <f t="shared" ref="L45:O45" si="19" xml:space="preserve"> L$100</f>
        <v>3753.2036002404197</v>
      </c>
      <c r="M45" s="11">
        <f t="shared" si="19"/>
        <v>3653.2036002404197</v>
      </c>
      <c r="N45" s="11">
        <f t="shared" si="19"/>
        <v>3553.2036002404197</v>
      </c>
      <c r="O45" s="11">
        <f t="shared" si="19"/>
        <v>3453.2036002404197</v>
      </c>
    </row>
    <row r="46" spans="1:15" x14ac:dyDescent="0.3">
      <c r="E46" t="s">
        <v>55</v>
      </c>
      <c r="G46" t="s">
        <v>33</v>
      </c>
      <c r="J46" s="15">
        <f xml:space="preserve"> Transaction_Workings!M$85</f>
        <v>1450</v>
      </c>
      <c r="K46">
        <f>J46</f>
        <v>1450</v>
      </c>
      <c r="L46">
        <f t="shared" ref="L46:O46" si="20">K46</f>
        <v>1450</v>
      </c>
      <c r="M46">
        <f t="shared" si="20"/>
        <v>1450</v>
      </c>
      <c r="N46">
        <f t="shared" si="20"/>
        <v>1450</v>
      </c>
      <c r="O46">
        <f t="shared" si="20"/>
        <v>1450</v>
      </c>
    </row>
    <row r="47" spans="1:15" s="21" customFormat="1" x14ac:dyDescent="0.3">
      <c r="C47" s="23"/>
      <c r="E47" s="21" t="s">
        <v>56</v>
      </c>
      <c r="G47" s="21" t="s">
        <v>33</v>
      </c>
      <c r="J47" s="21">
        <f>SUM(J44:J46)</f>
        <v>8085.8394552975187</v>
      </c>
      <c r="K47" s="21">
        <f>SUM(K44:K46)</f>
        <v>8719.8501582776844</v>
      </c>
      <c r="L47" s="21">
        <f>SUM(L44:L46)</f>
        <v>9487.0508612578506</v>
      </c>
      <c r="M47" s="21">
        <f t="shared" ref="M47:O47" si="21">SUM(M44:M46)</f>
        <v>10358.389364238015</v>
      </c>
      <c r="N47" s="21">
        <f t="shared" si="21"/>
        <v>11342.124751218182</v>
      </c>
      <c r="O47" s="21">
        <f t="shared" si="21"/>
        <v>12447.235638918348</v>
      </c>
    </row>
    <row r="49" spans="1:15" x14ac:dyDescent="0.3">
      <c r="E49" t="s">
        <v>57</v>
      </c>
      <c r="K49">
        <f>ROUND(J41 - J47, 2)</f>
        <v>0</v>
      </c>
      <c r="L49">
        <f t="shared" ref="L49:O49" si="22">ROUND(L41 - L47, 2)</f>
        <v>0</v>
      </c>
      <c r="M49">
        <f t="shared" si="22"/>
        <v>0</v>
      </c>
      <c r="N49">
        <f t="shared" si="22"/>
        <v>0</v>
      </c>
      <c r="O49">
        <f t="shared" si="22"/>
        <v>0</v>
      </c>
    </row>
    <row r="51" spans="1:15" x14ac:dyDescent="0.3">
      <c r="B51" s="3" t="s">
        <v>58</v>
      </c>
    </row>
    <row r="52" spans="1:15" x14ac:dyDescent="0.3">
      <c r="E52" s="11" t="s">
        <v>70</v>
      </c>
      <c r="F52" s="11">
        <v>0</v>
      </c>
      <c r="G52" s="11" t="s">
        <v>33</v>
      </c>
      <c r="K52">
        <f>K21</f>
        <v>634.01070298016555</v>
      </c>
      <c r="L52">
        <f t="shared" ref="L52:O52" si="23">L21</f>
        <v>867.20070298016503</v>
      </c>
      <c r="M52">
        <f t="shared" si="23"/>
        <v>971.33850298016557</v>
      </c>
      <c r="N52">
        <f t="shared" si="23"/>
        <v>1083.7353869801655</v>
      </c>
      <c r="O52">
        <f t="shared" si="23"/>
        <v>1205.1108877001666</v>
      </c>
    </row>
    <row r="53" spans="1:15" x14ac:dyDescent="0.3">
      <c r="E53" s="11" t="s">
        <v>38</v>
      </c>
      <c r="F53" s="11">
        <v>0</v>
      </c>
      <c r="G53" s="11" t="s">
        <v>33</v>
      </c>
      <c r="K53">
        <f>K14</f>
        <v>201.6</v>
      </c>
      <c r="L53">
        <f t="shared" ref="L53:O53" si="24">L14</f>
        <v>218.51999999999998</v>
      </c>
      <c r="M53">
        <f t="shared" si="24"/>
        <v>236.87279999999998</v>
      </c>
      <c r="N53">
        <f t="shared" si="24"/>
        <v>256.78094400000003</v>
      </c>
      <c r="O53">
        <f t="shared" si="24"/>
        <v>278.37757152000006</v>
      </c>
    </row>
    <row r="54" spans="1:15" x14ac:dyDescent="0.3">
      <c r="E54" t="s">
        <v>81</v>
      </c>
      <c r="G54" t="s">
        <v>33</v>
      </c>
      <c r="L54">
        <f>J38-L38</f>
        <v>0</v>
      </c>
      <c r="M54">
        <f t="shared" ref="M54:O54" si="25">L38-M38</f>
        <v>0</v>
      </c>
      <c r="N54">
        <f t="shared" si="25"/>
        <v>0</v>
      </c>
      <c r="O54">
        <f t="shared" si="25"/>
        <v>0</v>
      </c>
    </row>
    <row r="55" spans="1:15" s="20" customFormat="1" x14ac:dyDescent="0.3">
      <c r="A55" s="21"/>
      <c r="B55" s="21"/>
      <c r="C55" s="22"/>
      <c r="E55" s="20" t="s">
        <v>82</v>
      </c>
      <c r="G55" s="20" t="s">
        <v>33</v>
      </c>
      <c r="K55" s="20">
        <f>SUM(K52:K54)</f>
        <v>835.61070298016557</v>
      </c>
      <c r="L55" s="20">
        <f t="shared" ref="L55:O55" si="26">SUM(L52:L54)</f>
        <v>1085.720702980165</v>
      </c>
      <c r="M55" s="20">
        <f t="shared" si="26"/>
        <v>1208.2113029801656</v>
      </c>
      <c r="N55" s="20">
        <f t="shared" si="26"/>
        <v>1340.5163309801655</v>
      </c>
      <c r="O55" s="20">
        <f t="shared" si="26"/>
        <v>1483.4884592201665</v>
      </c>
    </row>
    <row r="57" spans="1:15" x14ac:dyDescent="0.3">
      <c r="E57" t="s">
        <v>71</v>
      </c>
      <c r="G57" t="s">
        <v>33</v>
      </c>
    </row>
    <row r="58" spans="1:15" s="20" customFormat="1" ht="12.5" x14ac:dyDescent="0.25">
      <c r="C58" s="22"/>
      <c r="E58" s="20" t="s">
        <v>83</v>
      </c>
      <c r="G58" s="20" t="s">
        <v>33</v>
      </c>
      <c r="K58" s="20">
        <f>SUM(K57)</f>
        <v>0</v>
      </c>
      <c r="L58" s="20">
        <f t="shared" ref="L58:O58" si="27">SUM(L57)</f>
        <v>0</v>
      </c>
      <c r="M58" s="20">
        <f t="shared" si="27"/>
        <v>0</v>
      </c>
      <c r="N58" s="20">
        <f t="shared" si="27"/>
        <v>0</v>
      </c>
      <c r="O58" s="20">
        <f t="shared" si="27"/>
        <v>0</v>
      </c>
    </row>
    <row r="60" spans="1:15" x14ac:dyDescent="0.3">
      <c r="E60" t="s">
        <v>158</v>
      </c>
      <c r="L60">
        <f>-L99</f>
        <v>-100</v>
      </c>
      <c r="M60">
        <f t="shared" ref="M60:O60" si="28">-M99</f>
        <v>-100</v>
      </c>
      <c r="N60">
        <f t="shared" si="28"/>
        <v>-100</v>
      </c>
      <c r="O60">
        <f t="shared" si="28"/>
        <v>-100</v>
      </c>
    </row>
    <row r="61" spans="1:15" s="20" customFormat="1" x14ac:dyDescent="0.3">
      <c r="A61" s="21"/>
      <c r="B61" s="21"/>
      <c r="C61" s="22"/>
      <c r="E61" s="20" t="s">
        <v>84</v>
      </c>
      <c r="G61" s="20" t="s">
        <v>33</v>
      </c>
      <c r="K61" s="20">
        <f>SUM(K60)</f>
        <v>0</v>
      </c>
      <c r="L61" s="20">
        <f t="shared" ref="L61" si="29">SUM(L60)</f>
        <v>-100</v>
      </c>
      <c r="M61" s="20">
        <f t="shared" ref="M61" si="30">SUM(M60)</f>
        <v>-100</v>
      </c>
      <c r="N61" s="20">
        <f t="shared" ref="N61" si="31">SUM(N60)</f>
        <v>-100</v>
      </c>
      <c r="O61" s="20">
        <f t="shared" ref="O61" si="32">SUM(O60)</f>
        <v>-100</v>
      </c>
    </row>
    <row r="63" spans="1:15" x14ac:dyDescent="0.3">
      <c r="E63" t="s">
        <v>85</v>
      </c>
      <c r="G63" t="s">
        <v>33</v>
      </c>
      <c r="K63">
        <f>J65</f>
        <v>520</v>
      </c>
      <c r="L63">
        <f>K65</f>
        <v>1355.6107029801656</v>
      </c>
      <c r="M63">
        <f t="shared" ref="M63:O63" si="33">L65</f>
        <v>2341.3314059603308</v>
      </c>
      <c r="N63">
        <f t="shared" si="33"/>
        <v>3449.5427089404966</v>
      </c>
      <c r="O63">
        <f t="shared" si="33"/>
        <v>4690.0590399206621</v>
      </c>
    </row>
    <row r="64" spans="1:15" x14ac:dyDescent="0.3">
      <c r="E64" t="s">
        <v>86</v>
      </c>
      <c r="G64" t="s">
        <v>33</v>
      </c>
      <c r="K64">
        <f>K55 + K58 + K61</f>
        <v>835.61070298016557</v>
      </c>
      <c r="L64">
        <f>L55 + L58 + L61</f>
        <v>985.72070298016502</v>
      </c>
      <c r="M64">
        <f t="shared" ref="M64:O64" si="34">M55 + M58 + M61</f>
        <v>1108.2113029801656</v>
      </c>
      <c r="N64">
        <f t="shared" si="34"/>
        <v>1240.5163309801655</v>
      </c>
      <c r="O64">
        <f t="shared" si="34"/>
        <v>1383.4884592201665</v>
      </c>
    </row>
    <row r="65" spans="1:15" s="20" customFormat="1" x14ac:dyDescent="0.3">
      <c r="A65" s="21"/>
      <c r="B65" s="21"/>
      <c r="C65" s="22"/>
      <c r="E65" s="20" t="s">
        <v>87</v>
      </c>
      <c r="G65" s="20" t="s">
        <v>33</v>
      </c>
      <c r="J65" s="20">
        <f>J39</f>
        <v>520</v>
      </c>
      <c r="K65" s="20">
        <f>SUM(K63:K64)</f>
        <v>1355.6107029801656</v>
      </c>
      <c r="L65" s="20">
        <f>SUM(L63:L64)</f>
        <v>2341.3314059603308</v>
      </c>
      <c r="M65" s="20">
        <f t="shared" ref="M65:O65" si="35">SUM(M63:M64)</f>
        <v>3449.5427089404966</v>
      </c>
      <c r="N65" s="20">
        <f t="shared" si="35"/>
        <v>4690.0590399206621</v>
      </c>
      <c r="O65" s="20">
        <f t="shared" si="35"/>
        <v>6073.5474991408282</v>
      </c>
    </row>
    <row r="67" spans="1:15" s="1" customFormat="1" x14ac:dyDescent="0.3">
      <c r="A67" s="2" t="s">
        <v>139</v>
      </c>
      <c r="B67" s="2"/>
      <c r="C67" s="4"/>
    </row>
    <row r="69" spans="1:15" x14ac:dyDescent="0.3">
      <c r="B69" s="3" t="s">
        <v>30</v>
      </c>
    </row>
    <row r="70" spans="1:15" x14ac:dyDescent="0.3">
      <c r="C70" s="5" t="s">
        <v>133</v>
      </c>
    </row>
    <row r="71" spans="1:15" x14ac:dyDescent="0.3">
      <c r="E71" s="15" t="str">
        <f xml:space="preserve"> Alpha!E$89</f>
        <v>Revenue</v>
      </c>
      <c r="F71" s="15">
        <f xml:space="preserve"> Alpha!F$89</f>
        <v>0</v>
      </c>
      <c r="G71" s="15" t="str">
        <f xml:space="preserve"> Alpha!G$89</f>
        <v>INR Crs</v>
      </c>
      <c r="H71" s="15">
        <f xml:space="preserve"> Alpha!H$89</f>
        <v>0</v>
      </c>
      <c r="I71" s="15">
        <f xml:space="preserve"> Alpha!I$89</f>
        <v>0</v>
      </c>
      <c r="J71" s="15">
        <f xml:space="preserve"> Alpha!J$89</f>
        <v>5000</v>
      </c>
      <c r="K71" s="15">
        <f xml:space="preserve"> Alpha!K$89</f>
        <v>5400</v>
      </c>
      <c r="L71" s="15">
        <f xml:space="preserve"> Alpha!L$89</f>
        <v>5832</v>
      </c>
      <c r="M71" s="15">
        <f xml:space="preserve"> Alpha!M$89</f>
        <v>6298.56</v>
      </c>
      <c r="N71" s="15">
        <f xml:space="preserve"> Alpha!N$89</f>
        <v>6802.4448000000011</v>
      </c>
      <c r="O71" s="15">
        <f xml:space="preserve"> Alpha!O$89</f>
        <v>7346.6403840000021</v>
      </c>
    </row>
    <row r="73" spans="1:15" x14ac:dyDescent="0.3">
      <c r="C73" s="5" t="s">
        <v>134</v>
      </c>
    </row>
    <row r="74" spans="1:15" x14ac:dyDescent="0.3">
      <c r="E74" s="15" t="str">
        <f xml:space="preserve"> Beta!E$87</f>
        <v>Revenue</v>
      </c>
      <c r="F74" s="15">
        <f xml:space="preserve"> Beta!F$87</f>
        <v>0</v>
      </c>
      <c r="G74" s="15" t="str">
        <f xml:space="preserve"> Beta!G$87</f>
        <v>INR Crs</v>
      </c>
      <c r="H74" s="15">
        <f xml:space="preserve"> Beta!H$87</f>
        <v>0</v>
      </c>
      <c r="I74" s="15">
        <f xml:space="preserve"> Beta!I$87</f>
        <v>0</v>
      </c>
      <c r="J74" s="15">
        <f xml:space="preserve"> Beta!J$87</f>
        <v>1200</v>
      </c>
      <c r="K74" s="15">
        <f xml:space="preserve"> Beta!K$87</f>
        <v>1320</v>
      </c>
      <c r="L74" s="15">
        <f xml:space="preserve"> Beta!L$87</f>
        <v>1452.0000000000002</v>
      </c>
      <c r="M74" s="15">
        <f xml:space="preserve"> Beta!M$87</f>
        <v>1597.2000000000003</v>
      </c>
      <c r="N74" s="15">
        <f xml:space="preserve"> Beta!N$87</f>
        <v>1756.9200000000005</v>
      </c>
      <c r="O74" s="15">
        <f xml:space="preserve"> Beta!O$87</f>
        <v>1932.6120000000008</v>
      </c>
    </row>
    <row r="75" spans="1:15" x14ac:dyDescent="0.3">
      <c r="E75" t="s">
        <v>140</v>
      </c>
      <c r="G75" t="s">
        <v>33</v>
      </c>
      <c r="J75">
        <f xml:space="preserve"> SUM(J71, J74)</f>
        <v>6200</v>
      </c>
      <c r="K75">
        <f t="shared" ref="K75:O75" si="36" xml:space="preserve"> SUM(K71, K74)</f>
        <v>6720</v>
      </c>
      <c r="L75">
        <f t="shared" si="36"/>
        <v>7284</v>
      </c>
      <c r="M75">
        <f t="shared" si="36"/>
        <v>7895.76</v>
      </c>
      <c r="N75">
        <f t="shared" si="36"/>
        <v>8559.3648000000012</v>
      </c>
      <c r="O75">
        <f t="shared" si="36"/>
        <v>9279.2523840000031</v>
      </c>
    </row>
    <row r="77" spans="1:15" x14ac:dyDescent="0.3">
      <c r="B77" s="3" t="s">
        <v>141</v>
      </c>
    </row>
    <row r="78" spans="1:15" x14ac:dyDescent="0.3">
      <c r="C78" s="5" t="s">
        <v>133</v>
      </c>
    </row>
    <row r="79" spans="1:15" x14ac:dyDescent="0.3">
      <c r="E79" s="15" t="str">
        <f xml:space="preserve"> Alpha!E$36</f>
        <v>Operating Expenses</v>
      </c>
      <c r="F79" s="15">
        <f xml:space="preserve"> Alpha!F$36</f>
        <v>0</v>
      </c>
      <c r="G79" s="15" t="str">
        <f xml:space="preserve"> Alpha!G$36</f>
        <v>INR Crs</v>
      </c>
      <c r="H79" s="15">
        <f xml:space="preserve"> Alpha!H$36</f>
        <v>0</v>
      </c>
      <c r="I79" s="15">
        <f xml:space="preserve"> Alpha!I$36</f>
        <v>0</v>
      </c>
      <c r="J79" s="15">
        <f xml:space="preserve"> Alpha!J$36</f>
        <v>3900</v>
      </c>
      <c r="K79" s="15">
        <f xml:space="preserve"> Alpha!K$36</f>
        <v>4212</v>
      </c>
      <c r="L79" s="15">
        <f xml:space="preserve"> Alpha!L$36</f>
        <v>4548.96</v>
      </c>
      <c r="M79" s="15">
        <f xml:space="preserve"> Alpha!M$36</f>
        <v>4912.8768</v>
      </c>
      <c r="N79" s="15">
        <f xml:space="preserve"> Alpha!N$36</f>
        <v>5305.9069440000012</v>
      </c>
      <c r="O79" s="15">
        <f xml:space="preserve"> Alpha!O$36</f>
        <v>5730.3794995200014</v>
      </c>
    </row>
    <row r="81" spans="2:15" x14ac:dyDescent="0.3">
      <c r="C81" s="5" t="s">
        <v>134</v>
      </c>
    </row>
    <row r="82" spans="2:15" x14ac:dyDescent="0.3">
      <c r="E82" s="15" t="str">
        <f xml:space="preserve"> Beta!E$37</f>
        <v>Operating Expenses</v>
      </c>
      <c r="F82" s="15">
        <f xml:space="preserve"> Beta!F$37</f>
        <v>0</v>
      </c>
      <c r="G82" s="15" t="str">
        <f xml:space="preserve"> Beta!G$37</f>
        <v>INR Crs</v>
      </c>
      <c r="H82" s="15">
        <f xml:space="preserve"> Beta!H$37</f>
        <v>0</v>
      </c>
      <c r="I82" s="15">
        <f xml:space="preserve"> Beta!I$37</f>
        <v>0</v>
      </c>
      <c r="J82" s="15">
        <f xml:space="preserve"> Beta!J$37</f>
        <v>864</v>
      </c>
      <c r="K82" s="15">
        <f xml:space="preserve"> Beta!K$37</f>
        <v>937.2</v>
      </c>
      <c r="L82" s="15">
        <f xml:space="preserve"> Beta!L$37</f>
        <v>1016.4000000000001</v>
      </c>
      <c r="M82" s="15">
        <f xml:space="preserve"> Beta!M$37</f>
        <v>1118.0400000000002</v>
      </c>
      <c r="N82" s="15">
        <f xml:space="preserve"> Beta!N$37</f>
        <v>1229.8440000000005</v>
      </c>
      <c r="O82" s="15">
        <f xml:space="preserve"> Beta!O$37</f>
        <v>1352.8284000000006</v>
      </c>
    </row>
    <row r="83" spans="2:15" x14ac:dyDescent="0.3">
      <c r="E83" t="s">
        <v>147</v>
      </c>
      <c r="G83" t="s">
        <v>33</v>
      </c>
      <c r="J83">
        <f xml:space="preserve"> SUM(J79, J82)</f>
        <v>4764</v>
      </c>
      <c r="K83">
        <f t="shared" ref="K83:O83" si="37" xml:space="preserve"> SUM(K79, K82)</f>
        <v>5149.2</v>
      </c>
      <c r="L83">
        <f t="shared" si="37"/>
        <v>5565.3600000000006</v>
      </c>
      <c r="M83">
        <f t="shared" si="37"/>
        <v>6030.9168</v>
      </c>
      <c r="N83">
        <f t="shared" si="37"/>
        <v>6535.7509440000013</v>
      </c>
      <c r="O83">
        <f t="shared" si="37"/>
        <v>7083.2078995200018</v>
      </c>
    </row>
    <row r="84" spans="2:15" x14ac:dyDescent="0.3">
      <c r="E84" s="15" t="str">
        <f xml:space="preserve"> InpC!E$85</f>
        <v>Integration Cost</v>
      </c>
      <c r="F84" s="15">
        <f xml:space="preserve"> InpC!F$85</f>
        <v>100</v>
      </c>
      <c r="G84" s="15" t="str">
        <f xml:space="preserve"> InpC!G$85</f>
        <v>INR Crs</v>
      </c>
      <c r="J84" s="1"/>
      <c r="K84">
        <f>F84</f>
        <v>100</v>
      </c>
      <c r="L84" s="1"/>
      <c r="M84" s="1"/>
      <c r="N84" s="1"/>
      <c r="O84" s="1"/>
    </row>
    <row r="85" spans="2:15" x14ac:dyDescent="0.3">
      <c r="E85" s="15" t="str">
        <f xml:space="preserve"> InpC!E$83</f>
        <v>Cost Synergies</v>
      </c>
      <c r="F85" s="15">
        <f xml:space="preserve"> InpC!F$83</f>
        <v>80</v>
      </c>
      <c r="G85" s="15" t="str">
        <f xml:space="preserve"> InpC!G$83</f>
        <v>INR Crs</v>
      </c>
      <c r="J85" s="1"/>
      <c r="K85" s="1"/>
      <c r="L85">
        <f>-$F$85</f>
        <v>-80</v>
      </c>
      <c r="M85">
        <f t="shared" ref="M85:O85" si="38">-$F$85</f>
        <v>-80</v>
      </c>
      <c r="N85">
        <f t="shared" si="38"/>
        <v>-80</v>
      </c>
      <c r="O85">
        <f t="shared" si="38"/>
        <v>-80</v>
      </c>
    </row>
    <row r="86" spans="2:15" x14ac:dyDescent="0.3">
      <c r="E86" t="s">
        <v>148</v>
      </c>
      <c r="G86" t="s">
        <v>33</v>
      </c>
      <c r="J86">
        <f xml:space="preserve"> SUM(J83:J85)</f>
        <v>4764</v>
      </c>
      <c r="K86">
        <f t="shared" ref="K86:O86" si="39" xml:space="preserve"> SUM(K83:K85)</f>
        <v>5249.2</v>
      </c>
      <c r="L86">
        <f t="shared" si="39"/>
        <v>5485.3600000000006</v>
      </c>
      <c r="M86">
        <f t="shared" si="39"/>
        <v>5950.9168</v>
      </c>
      <c r="N86">
        <f t="shared" si="39"/>
        <v>6455.7509440000013</v>
      </c>
      <c r="O86">
        <f t="shared" si="39"/>
        <v>7003.2078995200018</v>
      </c>
    </row>
    <row r="88" spans="2:15" x14ac:dyDescent="0.3">
      <c r="B88" s="3" t="s">
        <v>38</v>
      </c>
    </row>
    <row r="89" spans="2:15" x14ac:dyDescent="0.3">
      <c r="E89" s="15" t="str">
        <f xml:space="preserve"> InpC!E$26</f>
        <v>Depreciation</v>
      </c>
      <c r="F89" s="19">
        <f xml:space="preserve"> InpC!F$26</f>
        <v>0.03</v>
      </c>
      <c r="G89" s="15" t="str">
        <f xml:space="preserve"> InpC!G$26</f>
        <v>% of Revenue</v>
      </c>
    </row>
    <row r="90" spans="2:15" x14ac:dyDescent="0.3">
      <c r="E90" s="11" t="str">
        <f t="shared" ref="E90:O90" si="40" xml:space="preserve"> E$75</f>
        <v>Total Revenue</v>
      </c>
      <c r="F90" s="11">
        <f t="shared" si="40"/>
        <v>0</v>
      </c>
      <c r="G90" s="11" t="str">
        <f t="shared" si="40"/>
        <v>INR Crs</v>
      </c>
      <c r="H90" s="11">
        <f t="shared" si="40"/>
        <v>0</v>
      </c>
      <c r="I90" s="11">
        <f t="shared" si="40"/>
        <v>0</v>
      </c>
      <c r="J90" s="11">
        <f t="shared" si="40"/>
        <v>6200</v>
      </c>
      <c r="K90" s="11">
        <f t="shared" si="40"/>
        <v>6720</v>
      </c>
      <c r="L90" s="11">
        <f t="shared" si="40"/>
        <v>7284</v>
      </c>
      <c r="M90" s="11">
        <f t="shared" si="40"/>
        <v>7895.76</v>
      </c>
      <c r="N90" s="11">
        <f t="shared" si="40"/>
        <v>8559.3648000000012</v>
      </c>
      <c r="O90" s="11">
        <f t="shared" si="40"/>
        <v>9279.2523840000031</v>
      </c>
    </row>
    <row r="91" spans="2:15" x14ac:dyDescent="0.3">
      <c r="E91" t="s">
        <v>38</v>
      </c>
      <c r="G91" t="s">
        <v>33</v>
      </c>
      <c r="J91">
        <f>$F89 * J$90</f>
        <v>186</v>
      </c>
      <c r="K91">
        <f t="shared" ref="K91:O91" si="41">$F89 * K$90</f>
        <v>201.6</v>
      </c>
      <c r="L91">
        <f t="shared" si="41"/>
        <v>218.51999999999998</v>
      </c>
      <c r="M91">
        <f t="shared" si="41"/>
        <v>236.87279999999998</v>
      </c>
      <c r="N91">
        <f t="shared" si="41"/>
        <v>256.78094400000003</v>
      </c>
      <c r="O91">
        <f t="shared" si="41"/>
        <v>278.37757152000006</v>
      </c>
    </row>
    <row r="93" spans="2:15" x14ac:dyDescent="0.3">
      <c r="B93" s="3" t="s">
        <v>149</v>
      </c>
    </row>
    <row r="94" spans="2:15" x14ac:dyDescent="0.3">
      <c r="E94" s="15" t="str">
        <f xml:space="preserve"> InpC!E$88</f>
        <v>Interest Rate</v>
      </c>
      <c r="F94" s="19">
        <f xml:space="preserve"> InpC!F$88</f>
        <v>0.11</v>
      </c>
      <c r="G94" s="15" t="str">
        <f xml:space="preserve"> InpC!G$88</f>
        <v>%</v>
      </c>
    </row>
    <row r="95" spans="2:15" x14ac:dyDescent="0.3">
      <c r="E95" t="s">
        <v>54</v>
      </c>
      <c r="F95" s="15">
        <f xml:space="preserve"> Transaction_Workings!M$84</f>
        <v>3853.2036002404197</v>
      </c>
      <c r="G95" t="s">
        <v>33</v>
      </c>
    </row>
    <row r="97" spans="1:15" x14ac:dyDescent="0.3">
      <c r="E97" t="s">
        <v>150</v>
      </c>
      <c r="G97" t="s">
        <v>33</v>
      </c>
      <c r="J97">
        <f>I100</f>
        <v>0</v>
      </c>
      <c r="K97">
        <f t="shared" ref="K97:O97" si="42">J100</f>
        <v>3853.2036002404197</v>
      </c>
      <c r="L97">
        <f t="shared" si="42"/>
        <v>3853.2036002404197</v>
      </c>
      <c r="M97">
        <f t="shared" si="42"/>
        <v>3753.2036002404197</v>
      </c>
      <c r="N97">
        <f t="shared" si="42"/>
        <v>3653.2036002404197</v>
      </c>
      <c r="O97">
        <f t="shared" si="42"/>
        <v>3553.2036002404197</v>
      </c>
    </row>
    <row r="98" spans="1:15" x14ac:dyDescent="0.3">
      <c r="E98" t="s">
        <v>151</v>
      </c>
      <c r="G98" t="s">
        <v>33</v>
      </c>
    </row>
    <row r="99" spans="1:15" x14ac:dyDescent="0.3">
      <c r="E99" t="s">
        <v>164</v>
      </c>
      <c r="G99" t="s">
        <v>33</v>
      </c>
      <c r="K99" s="6">
        <v>0</v>
      </c>
      <c r="L99" s="6">
        <v>100</v>
      </c>
      <c r="M99" s="6">
        <v>100</v>
      </c>
      <c r="N99" s="6">
        <v>100</v>
      </c>
      <c r="O99" s="6">
        <v>100</v>
      </c>
    </row>
    <row r="100" spans="1:15" s="20" customFormat="1" x14ac:dyDescent="0.3">
      <c r="A100" s="21"/>
      <c r="B100" s="21"/>
      <c r="C100" s="22"/>
      <c r="E100" s="20" t="s">
        <v>152</v>
      </c>
      <c r="G100" s="20" t="s">
        <v>33</v>
      </c>
      <c r="J100" s="20">
        <f>$F$95</f>
        <v>3853.2036002404197</v>
      </c>
      <c r="K100" s="20">
        <f>K97 + K98 -K99</f>
        <v>3853.2036002404197</v>
      </c>
      <c r="L100" s="20">
        <f t="shared" ref="L100:O100" si="43">L97 + L98 -L99</f>
        <v>3753.2036002404197</v>
      </c>
      <c r="M100" s="20">
        <f t="shared" si="43"/>
        <v>3653.2036002404197</v>
      </c>
      <c r="N100" s="20">
        <f t="shared" si="43"/>
        <v>3553.2036002404197</v>
      </c>
      <c r="O100" s="20">
        <f t="shared" si="43"/>
        <v>3453.2036002404197</v>
      </c>
    </row>
    <row r="102" spans="1:15" x14ac:dyDescent="0.3">
      <c r="E102" t="s">
        <v>65</v>
      </c>
      <c r="G102" t="s">
        <v>33</v>
      </c>
      <c r="J102">
        <f xml:space="preserve"> SUM(J97)*$F94</f>
        <v>0</v>
      </c>
      <c r="K102">
        <f t="shared" ref="K102:O102" si="44" xml:space="preserve"> SUM(K97)*$F94</f>
        <v>423.85239602644617</v>
      </c>
      <c r="L102">
        <f t="shared" si="44"/>
        <v>423.85239602644617</v>
      </c>
      <c r="M102">
        <f t="shared" si="44"/>
        <v>412.85239602644617</v>
      </c>
      <c r="N102">
        <f t="shared" si="44"/>
        <v>401.85239602644617</v>
      </c>
      <c r="O102">
        <f t="shared" si="44"/>
        <v>390.85239602644617</v>
      </c>
    </row>
    <row r="104" spans="1:15" x14ac:dyDescent="0.3">
      <c r="B104" s="3" t="s">
        <v>153</v>
      </c>
    </row>
    <row r="105" spans="1:15" x14ac:dyDescent="0.3">
      <c r="E105" s="15" t="str">
        <f xml:space="preserve"> InpC!E$28</f>
        <v>Corporate Tax Rate</v>
      </c>
      <c r="F105" s="19">
        <f xml:space="preserve"> InpC!F$28</f>
        <v>0.25</v>
      </c>
      <c r="G105" s="15" t="str">
        <f xml:space="preserve"> InpC!G$28</f>
        <v>%</v>
      </c>
    </row>
    <row r="106" spans="1:15" x14ac:dyDescent="0.3">
      <c r="E106" s="11" t="str">
        <f xml:space="preserve"> E$18</f>
        <v>Profit Before Tax</v>
      </c>
      <c r="F106" s="11">
        <f t="shared" ref="F106:O106" si="45" xml:space="preserve"> F$18</f>
        <v>0</v>
      </c>
      <c r="G106" s="11" t="str">
        <f t="shared" si="45"/>
        <v>INR Crs</v>
      </c>
      <c r="H106" s="11">
        <f t="shared" si="45"/>
        <v>0</v>
      </c>
      <c r="I106" s="11">
        <f t="shared" si="45"/>
        <v>0</v>
      </c>
      <c r="J106" s="11">
        <f t="shared" si="45"/>
        <v>1250</v>
      </c>
      <c r="K106" s="11">
        <f t="shared" si="45"/>
        <v>845.3476039735541</v>
      </c>
      <c r="L106" s="11">
        <f t="shared" si="45"/>
        <v>1156.2676039735534</v>
      </c>
      <c r="M106" s="11">
        <f t="shared" si="45"/>
        <v>1295.1180039735541</v>
      </c>
      <c r="N106" s="11">
        <f t="shared" si="45"/>
        <v>1444.9805159735538</v>
      </c>
      <c r="O106" s="11">
        <f t="shared" si="45"/>
        <v>1606.8145169335553</v>
      </c>
    </row>
    <row r="107" spans="1:15" x14ac:dyDescent="0.3">
      <c r="E107" t="s">
        <v>153</v>
      </c>
      <c r="G107" t="s">
        <v>33</v>
      </c>
      <c r="J107">
        <f>$F105 * J$106</f>
        <v>312.5</v>
      </c>
      <c r="K107">
        <f t="shared" ref="K107:O107" si="46">$F105 * K$106</f>
        <v>211.33690099338853</v>
      </c>
      <c r="L107">
        <f t="shared" si="46"/>
        <v>289.06690099338834</v>
      </c>
      <c r="M107">
        <f t="shared" si="46"/>
        <v>323.77950099338852</v>
      </c>
      <c r="N107">
        <f t="shared" si="46"/>
        <v>361.24512899338845</v>
      </c>
      <c r="O107">
        <f t="shared" si="46"/>
        <v>401.70362923338882</v>
      </c>
    </row>
    <row r="109" spans="1:15" s="1" customFormat="1" x14ac:dyDescent="0.3">
      <c r="A109" s="2" t="s">
        <v>159</v>
      </c>
      <c r="B109" s="2"/>
      <c r="C109" s="4"/>
    </row>
    <row r="111" spans="1:15" x14ac:dyDescent="0.3">
      <c r="B111" s="3" t="s">
        <v>160</v>
      </c>
    </row>
    <row r="112" spans="1:15" x14ac:dyDescent="0.3">
      <c r="C112" s="5" t="s">
        <v>161</v>
      </c>
    </row>
    <row r="113" spans="2:15" x14ac:dyDescent="0.3">
      <c r="E113" s="11" t="str">
        <f xml:space="preserve"> E$12</f>
        <v xml:space="preserve">EBITDA </v>
      </c>
      <c r="F113" s="11">
        <f t="shared" ref="F113:O113" si="47" xml:space="preserve"> F$12</f>
        <v>0</v>
      </c>
      <c r="G113" s="11" t="str">
        <f t="shared" si="47"/>
        <v>INR Crs</v>
      </c>
      <c r="H113" s="11">
        <f t="shared" si="47"/>
        <v>0</v>
      </c>
      <c r="I113" s="11">
        <f t="shared" si="47"/>
        <v>0</v>
      </c>
      <c r="J113" s="11">
        <f t="shared" si="47"/>
        <v>1436</v>
      </c>
      <c r="K113" s="11">
        <f t="shared" si="47"/>
        <v>1470.8000000000002</v>
      </c>
      <c r="L113" s="11">
        <f t="shared" si="47"/>
        <v>1798.6399999999994</v>
      </c>
      <c r="M113" s="11">
        <f t="shared" si="47"/>
        <v>1944.8432000000003</v>
      </c>
      <c r="N113" s="11">
        <f t="shared" si="47"/>
        <v>2103.6138559999999</v>
      </c>
      <c r="O113" s="11">
        <f t="shared" si="47"/>
        <v>2276.0444844800013</v>
      </c>
    </row>
    <row r="114" spans="2:15" x14ac:dyDescent="0.3">
      <c r="E114" s="11" t="str">
        <f xml:space="preserve"> E$17</f>
        <v>Interest Expense</v>
      </c>
      <c r="F114" s="11">
        <f t="shared" ref="F114:O114" si="48" xml:space="preserve"> F$17</f>
        <v>0</v>
      </c>
      <c r="G114" s="11" t="str">
        <f t="shared" si="48"/>
        <v>INR Crs</v>
      </c>
      <c r="H114" s="11">
        <f t="shared" si="48"/>
        <v>0</v>
      </c>
      <c r="I114" s="11">
        <f t="shared" si="48"/>
        <v>0</v>
      </c>
      <c r="J114" s="11">
        <f t="shared" si="48"/>
        <v>0</v>
      </c>
      <c r="K114" s="11">
        <f t="shared" si="48"/>
        <v>423.85239602644617</v>
      </c>
      <c r="L114" s="11">
        <f t="shared" si="48"/>
        <v>423.85239602644617</v>
      </c>
      <c r="M114" s="11">
        <f t="shared" si="48"/>
        <v>412.85239602644617</v>
      </c>
      <c r="N114" s="11">
        <f t="shared" si="48"/>
        <v>401.85239602644617</v>
      </c>
      <c r="O114" s="11">
        <f t="shared" si="48"/>
        <v>390.85239602644617</v>
      </c>
    </row>
    <row r="115" spans="2:15" x14ac:dyDescent="0.3">
      <c r="E115" t="s">
        <v>162</v>
      </c>
      <c r="G115" t="s">
        <v>108</v>
      </c>
      <c r="K115" s="30">
        <f>K113 / K114</f>
        <v>3.4700759363130507</v>
      </c>
      <c r="L115" s="30">
        <f t="shared" ref="L115:O115" si="49">L113 / L114</f>
        <v>4.2435527482255253</v>
      </c>
      <c r="M115" s="30">
        <f t="shared" si="49"/>
        <v>4.7107470338513409</v>
      </c>
      <c r="N115" s="30">
        <f t="shared" si="49"/>
        <v>5.2347923685430997</v>
      </c>
      <c r="O115" s="30">
        <f t="shared" si="49"/>
        <v>5.8232839496933719</v>
      </c>
    </row>
    <row r="117" spans="2:15" x14ac:dyDescent="0.3">
      <c r="C117" s="5" t="s">
        <v>163</v>
      </c>
    </row>
    <row r="118" spans="2:15" x14ac:dyDescent="0.3">
      <c r="E118" s="11" t="str">
        <f xml:space="preserve"> E$55</f>
        <v>Cash Flow From Operations</v>
      </c>
      <c r="F118" s="11">
        <f t="shared" ref="F118:O118" si="50" xml:space="preserve"> F$55</f>
        <v>0</v>
      </c>
      <c r="G118" s="11" t="str">
        <f t="shared" si="50"/>
        <v>INR Crs</v>
      </c>
      <c r="H118" s="11">
        <f t="shared" si="50"/>
        <v>0</v>
      </c>
      <c r="I118" s="11">
        <f t="shared" si="50"/>
        <v>0</v>
      </c>
      <c r="J118" s="11">
        <f t="shared" si="50"/>
        <v>0</v>
      </c>
      <c r="K118" s="11">
        <f t="shared" si="50"/>
        <v>835.61070298016557</v>
      </c>
      <c r="L118" s="11">
        <f t="shared" si="50"/>
        <v>1085.720702980165</v>
      </c>
      <c r="M118" s="11">
        <f t="shared" si="50"/>
        <v>1208.2113029801656</v>
      </c>
      <c r="N118" s="11">
        <f t="shared" si="50"/>
        <v>1340.5163309801655</v>
      </c>
      <c r="O118" s="11">
        <f t="shared" si="50"/>
        <v>1483.4884592201665</v>
      </c>
    </row>
    <row r="119" spans="2:15" x14ac:dyDescent="0.3">
      <c r="E119" s="11" t="str">
        <f xml:space="preserve"> E$17</f>
        <v>Interest Expense</v>
      </c>
      <c r="F119" s="11">
        <f t="shared" ref="F119:O123" si="51" xml:space="preserve"> F$17</f>
        <v>0</v>
      </c>
      <c r="G119" s="11" t="str">
        <f t="shared" si="51"/>
        <v>INR Crs</v>
      </c>
      <c r="H119" s="11">
        <f t="shared" si="51"/>
        <v>0</v>
      </c>
      <c r="I119" s="11">
        <f t="shared" si="51"/>
        <v>0</v>
      </c>
      <c r="J119" s="11">
        <f t="shared" si="51"/>
        <v>0</v>
      </c>
      <c r="K119" s="11">
        <f t="shared" si="51"/>
        <v>423.85239602644617</v>
      </c>
      <c r="L119" s="11">
        <f t="shared" si="51"/>
        <v>423.85239602644617</v>
      </c>
      <c r="M119" s="11">
        <f t="shared" si="51"/>
        <v>412.85239602644617</v>
      </c>
      <c r="N119" s="11">
        <f t="shared" si="51"/>
        <v>401.85239602644617</v>
      </c>
      <c r="O119" s="11">
        <f t="shared" si="51"/>
        <v>390.85239602644617</v>
      </c>
    </row>
    <row r="120" spans="2:15" x14ac:dyDescent="0.3">
      <c r="E120" s="11" t="str">
        <f xml:space="preserve"> E$57</f>
        <v>Capital Expenditure</v>
      </c>
      <c r="F120" s="11">
        <f t="shared" ref="F120:O120" si="52" xml:space="preserve"> F$57</f>
        <v>0</v>
      </c>
      <c r="G120" s="11" t="str">
        <f t="shared" si="52"/>
        <v>INR Crs</v>
      </c>
      <c r="H120" s="11">
        <f t="shared" si="52"/>
        <v>0</v>
      </c>
      <c r="I120" s="11">
        <f t="shared" si="52"/>
        <v>0</v>
      </c>
      <c r="J120" s="11">
        <f t="shared" si="52"/>
        <v>0</v>
      </c>
      <c r="K120" s="11">
        <f t="shared" si="52"/>
        <v>0</v>
      </c>
      <c r="L120" s="11">
        <f t="shared" si="52"/>
        <v>0</v>
      </c>
      <c r="M120" s="11">
        <f t="shared" si="52"/>
        <v>0</v>
      </c>
      <c r="N120" s="11">
        <f t="shared" si="52"/>
        <v>0</v>
      </c>
      <c r="O120" s="11">
        <f t="shared" si="52"/>
        <v>0</v>
      </c>
    </row>
    <row r="121" spans="2:15" x14ac:dyDescent="0.3">
      <c r="E121" s="11" t="s">
        <v>165</v>
      </c>
      <c r="F121" s="11"/>
      <c r="G121" s="11" t="s">
        <v>108</v>
      </c>
      <c r="H121" s="11"/>
      <c r="I121" s="11"/>
      <c r="J121" s="11"/>
      <c r="K121" s="11">
        <f>SUM(K118:K120)</f>
        <v>1259.4630990066116</v>
      </c>
      <c r="L121" s="11">
        <f t="shared" ref="L121:O121" si="53">SUM(L118:L120)</f>
        <v>1509.5730990066113</v>
      </c>
      <c r="M121" s="11">
        <f t="shared" si="53"/>
        <v>1621.0636990066118</v>
      </c>
      <c r="N121" s="11">
        <f t="shared" si="53"/>
        <v>1742.3687270066116</v>
      </c>
      <c r="O121" s="11">
        <f t="shared" si="53"/>
        <v>1874.3408552466126</v>
      </c>
    </row>
    <row r="122" spans="2:15" x14ac:dyDescent="0.3"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2:15" x14ac:dyDescent="0.3">
      <c r="E123" s="11" t="str">
        <f xml:space="preserve"> E$17</f>
        <v>Interest Expense</v>
      </c>
      <c r="F123" s="11">
        <f t="shared" si="51"/>
        <v>0</v>
      </c>
      <c r="G123" s="11" t="str">
        <f t="shared" si="51"/>
        <v>INR Crs</v>
      </c>
      <c r="H123" s="11">
        <f t="shared" si="51"/>
        <v>0</v>
      </c>
      <c r="I123" s="11">
        <f t="shared" si="51"/>
        <v>0</v>
      </c>
      <c r="J123" s="11">
        <f t="shared" si="51"/>
        <v>0</v>
      </c>
      <c r="K123" s="11">
        <f t="shared" si="51"/>
        <v>423.85239602644617</v>
      </c>
      <c r="L123" s="11">
        <f t="shared" si="51"/>
        <v>423.85239602644617</v>
      </c>
      <c r="M123" s="11">
        <f t="shared" si="51"/>
        <v>412.85239602644617</v>
      </c>
      <c r="N123" s="11">
        <f t="shared" si="51"/>
        <v>401.85239602644617</v>
      </c>
      <c r="O123" s="11">
        <f t="shared" si="51"/>
        <v>390.85239602644617</v>
      </c>
    </row>
    <row r="124" spans="2:15" x14ac:dyDescent="0.3">
      <c r="E124" t="s">
        <v>162</v>
      </c>
      <c r="G124" t="s">
        <v>108</v>
      </c>
      <c r="K124" s="30">
        <f>K121 / K123</f>
        <v>2.9714662717820941</v>
      </c>
      <c r="L124" s="30">
        <f t="shared" ref="L124:O124" si="54">L121 / L123</f>
        <v>3.5615537700355993</v>
      </c>
      <c r="M124" s="30">
        <f t="shared" si="54"/>
        <v>3.9264970110595434</v>
      </c>
      <c r="N124" s="30">
        <f t="shared" si="54"/>
        <v>4.335842573629809</v>
      </c>
      <c r="O124" s="30">
        <f t="shared" si="54"/>
        <v>4.7955209544622814</v>
      </c>
    </row>
    <row r="126" spans="2:15" x14ac:dyDescent="0.3">
      <c r="B126" s="3" t="s">
        <v>166</v>
      </c>
    </row>
    <row r="127" spans="2:15" x14ac:dyDescent="0.3">
      <c r="C127" s="5" t="s">
        <v>161</v>
      </c>
    </row>
    <row r="128" spans="2:15" x14ac:dyDescent="0.3">
      <c r="E128" s="11" t="str">
        <f xml:space="preserve"> E$12</f>
        <v xml:space="preserve">EBITDA </v>
      </c>
      <c r="F128" s="11">
        <f t="shared" ref="F128:O128" si="55" xml:space="preserve"> F$12</f>
        <v>0</v>
      </c>
      <c r="G128" s="11" t="str">
        <f t="shared" si="55"/>
        <v>INR Crs</v>
      </c>
      <c r="H128" s="11">
        <f t="shared" si="55"/>
        <v>0</v>
      </c>
      <c r="I128" s="11">
        <f t="shared" si="55"/>
        <v>0</v>
      </c>
      <c r="J128" s="11">
        <f t="shared" si="55"/>
        <v>1436</v>
      </c>
      <c r="K128" s="11">
        <f t="shared" si="55"/>
        <v>1470.8000000000002</v>
      </c>
      <c r="L128" s="11">
        <f t="shared" si="55"/>
        <v>1798.6399999999994</v>
      </c>
      <c r="M128" s="11">
        <f t="shared" si="55"/>
        <v>1944.8432000000003</v>
      </c>
      <c r="N128" s="11">
        <f t="shared" si="55"/>
        <v>2103.6138559999999</v>
      </c>
      <c r="O128" s="11">
        <f t="shared" si="55"/>
        <v>2276.0444844800013</v>
      </c>
    </row>
    <row r="129" spans="2:15" x14ac:dyDescent="0.3">
      <c r="E129" s="11" t="str">
        <f xml:space="preserve"> E$17</f>
        <v>Interest Expense</v>
      </c>
      <c r="F129" s="11">
        <f t="shared" ref="F129:O129" si="56" xml:space="preserve"> F$17</f>
        <v>0</v>
      </c>
      <c r="G129" s="11" t="str">
        <f t="shared" si="56"/>
        <v>INR Crs</v>
      </c>
      <c r="H129" s="11">
        <f t="shared" si="56"/>
        <v>0</v>
      </c>
      <c r="I129" s="11">
        <f t="shared" si="56"/>
        <v>0</v>
      </c>
      <c r="J129" s="11">
        <f t="shared" si="56"/>
        <v>0</v>
      </c>
      <c r="K129" s="11">
        <f t="shared" si="56"/>
        <v>423.85239602644617</v>
      </c>
      <c r="L129" s="11">
        <f t="shared" si="56"/>
        <v>423.85239602644617</v>
      </c>
      <c r="M129" s="11">
        <f t="shared" si="56"/>
        <v>412.85239602644617</v>
      </c>
      <c r="N129" s="11">
        <f t="shared" si="56"/>
        <v>401.85239602644617</v>
      </c>
      <c r="O129" s="11">
        <f t="shared" si="56"/>
        <v>390.85239602644617</v>
      </c>
    </row>
    <row r="130" spans="2:15" x14ac:dyDescent="0.3">
      <c r="E130" s="11" t="str">
        <f xml:space="preserve"> E$99</f>
        <v>Debt - Repayment</v>
      </c>
      <c r="F130" s="11">
        <f t="shared" ref="F130:O130" si="57" xml:space="preserve"> F$99</f>
        <v>0</v>
      </c>
      <c r="G130" s="11" t="str">
        <f t="shared" si="57"/>
        <v>INR Crs</v>
      </c>
      <c r="H130" s="11">
        <f t="shared" si="57"/>
        <v>0</v>
      </c>
      <c r="I130" s="11">
        <f t="shared" si="57"/>
        <v>0</v>
      </c>
      <c r="J130" s="11">
        <f t="shared" si="57"/>
        <v>0</v>
      </c>
      <c r="K130" s="11">
        <f t="shared" si="57"/>
        <v>0</v>
      </c>
      <c r="L130" s="11">
        <f t="shared" si="57"/>
        <v>100</v>
      </c>
      <c r="M130" s="11">
        <f t="shared" si="57"/>
        <v>100</v>
      </c>
      <c r="N130" s="11">
        <f t="shared" si="57"/>
        <v>100</v>
      </c>
      <c r="O130" s="11">
        <f t="shared" si="57"/>
        <v>100</v>
      </c>
    </row>
    <row r="131" spans="2:15" x14ac:dyDescent="0.3">
      <c r="E131" t="s">
        <v>166</v>
      </c>
      <c r="G131" t="s">
        <v>108</v>
      </c>
      <c r="K131" s="30">
        <f>K128 / SUM(K129:K130)</f>
        <v>3.4700759363130507</v>
      </c>
      <c r="L131" s="30">
        <f t="shared" ref="L131:O131" si="58">L128 / SUM(L129:L130)</f>
        <v>3.4334862523167629</v>
      </c>
      <c r="M131" s="30">
        <f t="shared" si="58"/>
        <v>3.7922084698610061</v>
      </c>
      <c r="N131" s="30">
        <f t="shared" si="58"/>
        <v>4.191698341297041</v>
      </c>
      <c r="O131" s="30">
        <f t="shared" si="58"/>
        <v>4.6369224290337829</v>
      </c>
    </row>
    <row r="133" spans="2:15" x14ac:dyDescent="0.3">
      <c r="C133" s="5" t="s">
        <v>163</v>
      </c>
    </row>
    <row r="134" spans="2:15" x14ac:dyDescent="0.3">
      <c r="E134" s="11" t="str">
        <f xml:space="preserve"> E$55</f>
        <v>Cash Flow From Operations</v>
      </c>
      <c r="F134" s="11">
        <f t="shared" ref="F134:O134" si="59" xml:space="preserve"> F$55</f>
        <v>0</v>
      </c>
      <c r="G134" s="11" t="str">
        <f t="shared" si="59"/>
        <v>INR Crs</v>
      </c>
      <c r="H134" s="11">
        <f t="shared" si="59"/>
        <v>0</v>
      </c>
      <c r="I134" s="11">
        <f t="shared" si="59"/>
        <v>0</v>
      </c>
      <c r="J134" s="11">
        <f t="shared" si="59"/>
        <v>0</v>
      </c>
      <c r="K134" s="11">
        <f t="shared" si="59"/>
        <v>835.61070298016557</v>
      </c>
      <c r="L134" s="11">
        <f t="shared" si="59"/>
        <v>1085.720702980165</v>
      </c>
      <c r="M134" s="11">
        <f t="shared" si="59"/>
        <v>1208.2113029801656</v>
      </c>
      <c r="N134" s="11">
        <f t="shared" si="59"/>
        <v>1340.5163309801655</v>
      </c>
      <c r="O134" s="11">
        <f t="shared" si="59"/>
        <v>1483.4884592201665</v>
      </c>
    </row>
    <row r="135" spans="2:15" x14ac:dyDescent="0.3">
      <c r="E135" s="11" t="str">
        <f xml:space="preserve"> E$17</f>
        <v>Interest Expense</v>
      </c>
      <c r="F135" s="11">
        <f t="shared" ref="F135:O139" si="60" xml:space="preserve"> F$17</f>
        <v>0</v>
      </c>
      <c r="G135" s="11" t="str">
        <f t="shared" si="60"/>
        <v>INR Crs</v>
      </c>
      <c r="H135" s="11">
        <f t="shared" si="60"/>
        <v>0</v>
      </c>
      <c r="I135" s="11">
        <f t="shared" si="60"/>
        <v>0</v>
      </c>
      <c r="J135" s="11">
        <f t="shared" si="60"/>
        <v>0</v>
      </c>
      <c r="K135" s="11">
        <f t="shared" si="60"/>
        <v>423.85239602644617</v>
      </c>
      <c r="L135" s="11">
        <f t="shared" si="60"/>
        <v>423.85239602644617</v>
      </c>
      <c r="M135" s="11">
        <f t="shared" si="60"/>
        <v>412.85239602644617</v>
      </c>
      <c r="N135" s="11">
        <f t="shared" si="60"/>
        <v>401.85239602644617</v>
      </c>
      <c r="O135" s="11">
        <f t="shared" si="60"/>
        <v>390.85239602644617</v>
      </c>
    </row>
    <row r="136" spans="2:15" x14ac:dyDescent="0.3">
      <c r="E136" s="11" t="str">
        <f xml:space="preserve"> E$57</f>
        <v>Capital Expenditure</v>
      </c>
      <c r="F136" s="11">
        <f t="shared" ref="F136:O136" si="61" xml:space="preserve"> F$57</f>
        <v>0</v>
      </c>
      <c r="G136" s="11" t="str">
        <f t="shared" si="61"/>
        <v>INR Crs</v>
      </c>
      <c r="H136" s="11">
        <f t="shared" si="61"/>
        <v>0</v>
      </c>
      <c r="I136" s="11">
        <f t="shared" si="61"/>
        <v>0</v>
      </c>
      <c r="J136" s="11">
        <f t="shared" si="61"/>
        <v>0</v>
      </c>
      <c r="K136" s="11">
        <f t="shared" si="61"/>
        <v>0</v>
      </c>
      <c r="L136" s="11">
        <f t="shared" si="61"/>
        <v>0</v>
      </c>
      <c r="M136" s="11">
        <f t="shared" si="61"/>
        <v>0</v>
      </c>
      <c r="N136" s="11">
        <f t="shared" si="61"/>
        <v>0</v>
      </c>
      <c r="O136" s="11">
        <f t="shared" si="61"/>
        <v>0</v>
      </c>
    </row>
    <row r="137" spans="2:15" x14ac:dyDescent="0.3">
      <c r="E137" s="11" t="s">
        <v>165</v>
      </c>
      <c r="F137" s="11"/>
      <c r="G137" s="11" t="s">
        <v>108</v>
      </c>
      <c r="H137" s="11"/>
      <c r="I137" s="11"/>
      <c r="J137" s="11"/>
      <c r="K137" s="11">
        <f>SUM(K134:K136)</f>
        <v>1259.4630990066116</v>
      </c>
      <c r="L137" s="11">
        <f t="shared" ref="L137" si="62">SUM(L134:L136)</f>
        <v>1509.5730990066113</v>
      </c>
      <c r="M137" s="11">
        <f t="shared" ref="M137" si="63">SUM(M134:M136)</f>
        <v>1621.0636990066118</v>
      </c>
      <c r="N137" s="11">
        <f t="shared" ref="N137" si="64">SUM(N134:N136)</f>
        <v>1742.3687270066116</v>
      </c>
      <c r="O137" s="11">
        <f t="shared" ref="O137" si="65">SUM(O134:O136)</f>
        <v>1874.3408552466126</v>
      </c>
    </row>
    <row r="138" spans="2:15" x14ac:dyDescent="0.3"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2:15" x14ac:dyDescent="0.3">
      <c r="E139" s="11" t="str">
        <f xml:space="preserve"> E$17</f>
        <v>Interest Expense</v>
      </c>
      <c r="F139" s="11">
        <f t="shared" si="60"/>
        <v>0</v>
      </c>
      <c r="G139" s="11" t="str">
        <f t="shared" si="60"/>
        <v>INR Crs</v>
      </c>
      <c r="H139" s="11">
        <f t="shared" si="60"/>
        <v>0</v>
      </c>
      <c r="I139" s="11">
        <f t="shared" si="60"/>
        <v>0</v>
      </c>
      <c r="J139" s="11">
        <f t="shared" si="60"/>
        <v>0</v>
      </c>
      <c r="K139" s="11">
        <f t="shared" si="60"/>
        <v>423.85239602644617</v>
      </c>
      <c r="L139" s="11">
        <f t="shared" si="60"/>
        <v>423.85239602644617</v>
      </c>
      <c r="M139" s="11">
        <f t="shared" si="60"/>
        <v>412.85239602644617</v>
      </c>
      <c r="N139" s="11">
        <f t="shared" si="60"/>
        <v>401.85239602644617</v>
      </c>
      <c r="O139" s="11">
        <f t="shared" si="60"/>
        <v>390.85239602644617</v>
      </c>
    </row>
    <row r="140" spans="2:15" x14ac:dyDescent="0.3">
      <c r="E140" s="11" t="str">
        <f xml:space="preserve"> E$99</f>
        <v>Debt - Repayment</v>
      </c>
      <c r="F140" s="11">
        <f t="shared" ref="F140:O140" si="66" xml:space="preserve"> F$99</f>
        <v>0</v>
      </c>
      <c r="G140" s="11" t="str">
        <f t="shared" si="66"/>
        <v>INR Crs</v>
      </c>
      <c r="H140" s="11">
        <f t="shared" si="66"/>
        <v>0</v>
      </c>
      <c r="I140" s="11">
        <f t="shared" si="66"/>
        <v>0</v>
      </c>
      <c r="J140" s="11">
        <f t="shared" si="66"/>
        <v>0</v>
      </c>
      <c r="K140" s="11">
        <f t="shared" si="66"/>
        <v>0</v>
      </c>
      <c r="L140" s="11">
        <f t="shared" si="66"/>
        <v>100</v>
      </c>
      <c r="M140" s="11">
        <f t="shared" si="66"/>
        <v>100</v>
      </c>
      <c r="N140" s="11">
        <f t="shared" si="66"/>
        <v>100</v>
      </c>
      <c r="O140" s="11">
        <f t="shared" si="66"/>
        <v>100</v>
      </c>
    </row>
    <row r="141" spans="2:15" x14ac:dyDescent="0.3">
      <c r="E141" t="s">
        <v>166</v>
      </c>
      <c r="G141" t="s">
        <v>108</v>
      </c>
      <c r="K141" s="30">
        <f>K137 / SUM(K139:K140)</f>
        <v>2.9714662717820941</v>
      </c>
      <c r="L141" s="30">
        <f t="shared" ref="L141:O141" si="67">L137 / SUM(L139:L140)</f>
        <v>2.8816764234679608</v>
      </c>
      <c r="M141" s="30">
        <f t="shared" si="67"/>
        <v>3.1608776941797085</v>
      </c>
      <c r="N141" s="30">
        <f t="shared" si="67"/>
        <v>3.471874879550827</v>
      </c>
      <c r="O141" s="30">
        <f t="shared" si="67"/>
        <v>3.8185427440505491</v>
      </c>
    </row>
    <row r="142" spans="2:15" x14ac:dyDescent="0.3">
      <c r="K142" s="30"/>
      <c r="L142" s="30"/>
      <c r="M142" s="30"/>
      <c r="N142" s="30"/>
      <c r="O142" s="30"/>
    </row>
    <row r="143" spans="2:15" x14ac:dyDescent="0.3">
      <c r="B143" s="3" t="s">
        <v>167</v>
      </c>
    </row>
    <row r="144" spans="2:15" x14ac:dyDescent="0.3">
      <c r="E144" s="11" t="str">
        <f xml:space="preserve"> E$100</f>
        <v>Debt - Closing Balance</v>
      </c>
      <c r="F144" s="11">
        <f t="shared" ref="F144:O144" si="68" xml:space="preserve"> F$100</f>
        <v>0</v>
      </c>
      <c r="G144" s="11" t="str">
        <f t="shared" si="68"/>
        <v>INR Crs</v>
      </c>
      <c r="H144" s="11">
        <f t="shared" si="68"/>
        <v>0</v>
      </c>
      <c r="I144" s="11">
        <f t="shared" si="68"/>
        <v>0</v>
      </c>
      <c r="J144" s="11">
        <f t="shared" si="68"/>
        <v>3853.2036002404197</v>
      </c>
      <c r="K144" s="11">
        <f t="shared" si="68"/>
        <v>3853.2036002404197</v>
      </c>
      <c r="L144" s="11">
        <f t="shared" si="68"/>
        <v>3753.2036002404197</v>
      </c>
      <c r="M144" s="11">
        <f t="shared" si="68"/>
        <v>3653.2036002404197</v>
      </c>
      <c r="N144" s="11">
        <f t="shared" si="68"/>
        <v>3553.2036002404197</v>
      </c>
      <c r="O144" s="11">
        <f t="shared" si="68"/>
        <v>3453.2036002404197</v>
      </c>
    </row>
    <row r="145" spans="5:15" x14ac:dyDescent="0.3">
      <c r="E145" s="11" t="str">
        <f xml:space="preserve"> E$44</f>
        <v>Equity (Net Worth)</v>
      </c>
      <c r="F145" s="11">
        <f t="shared" ref="F145:O145" si="69" xml:space="preserve"> F$44</f>
        <v>0</v>
      </c>
      <c r="G145" s="11" t="str">
        <f t="shared" si="69"/>
        <v>INR Crs</v>
      </c>
      <c r="H145" s="11">
        <f t="shared" si="69"/>
        <v>0</v>
      </c>
      <c r="I145" s="11">
        <f t="shared" si="69"/>
        <v>0</v>
      </c>
      <c r="J145" s="11">
        <f t="shared" si="69"/>
        <v>2782.6358550570994</v>
      </c>
      <c r="K145" s="11">
        <f t="shared" si="69"/>
        <v>3416.6465580372651</v>
      </c>
      <c r="L145" s="11">
        <f t="shared" si="69"/>
        <v>4283.8472610174304</v>
      </c>
      <c r="M145" s="11">
        <f t="shared" si="69"/>
        <v>5255.185763997596</v>
      </c>
      <c r="N145" s="11">
        <f t="shared" si="69"/>
        <v>6338.9211509777615</v>
      </c>
      <c r="O145" s="11">
        <f t="shared" si="69"/>
        <v>7544.0320386779276</v>
      </c>
    </row>
    <row r="146" spans="5:15" x14ac:dyDescent="0.3">
      <c r="E146" t="s">
        <v>168</v>
      </c>
      <c r="G146" t="s">
        <v>169</v>
      </c>
      <c r="J146" s="30">
        <f>J144/ J145</f>
        <v>1.3847315282873591</v>
      </c>
      <c r="K146" s="30">
        <f t="shared" ref="K146:O146" si="70">K144/ K145</f>
        <v>1.1277735448450776</v>
      </c>
      <c r="L146" s="30">
        <f t="shared" si="70"/>
        <v>0.87612918284790087</v>
      </c>
      <c r="M146" s="30">
        <f t="shared" si="70"/>
        <v>0.69516164875995634</v>
      </c>
      <c r="N146" s="30">
        <f t="shared" si="70"/>
        <v>0.56053759237758427</v>
      </c>
      <c r="O146" s="30">
        <f t="shared" si="70"/>
        <v>0.45773978457885567</v>
      </c>
    </row>
    <row r="147" spans="5:15" x14ac:dyDescent="0.3">
      <c r="E147" t="s">
        <v>170</v>
      </c>
      <c r="G147" t="s">
        <v>169</v>
      </c>
      <c r="J147" s="18">
        <f>J144/ SUM(J144:J145)</f>
        <v>0.58066558514527244</v>
      </c>
      <c r="K147" s="18">
        <f t="shared" ref="K147:O147" si="71">K144/ SUM(K144:K145)</f>
        <v>0.53002517470776733</v>
      </c>
      <c r="L147" s="18">
        <f t="shared" si="71"/>
        <v>0.46698766314053397</v>
      </c>
      <c r="M147" s="18">
        <f t="shared" si="71"/>
        <v>0.41008575746654052</v>
      </c>
      <c r="N147" s="18">
        <f t="shared" si="71"/>
        <v>0.35919518704036307</v>
      </c>
      <c r="O147" s="18">
        <f t="shared" si="71"/>
        <v>0.31400651160186155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0F4F-A005-42F9-B1F9-6C8985AEF7CB}">
  <sheetPr>
    <tabColor rgb="FFFFC000"/>
  </sheetPr>
  <dimension ref="F6:H6"/>
  <sheetViews>
    <sheetView showGridLines="0" zoomScale="130" zoomScaleNormal="130" workbookViewId="0">
      <pane xSplit="9" ySplit="6" topLeftCell="J7" activePane="bottomRight" state="frozen"/>
      <selection activeCell="O61" sqref="O61"/>
      <selection pane="topRight" activeCell="O61" sqref="O61"/>
      <selection pane="bottomLeft" activeCell="O61" sqref="O61"/>
      <selection pane="bottomRight" activeCell="O61" sqref="O61"/>
    </sheetView>
  </sheetViews>
  <sheetFormatPr defaultColWidth="0" defaultRowHeight="12.5" x14ac:dyDescent="0.25"/>
  <cols>
    <col min="1" max="4" width="1.81640625" customWidth="1"/>
    <col min="5" max="5" width="40.81640625" customWidth="1"/>
    <col min="6" max="8" width="10.08984375" bestFit="1" customWidth="1"/>
    <col min="9" max="9" width="1.81640625" customWidth="1"/>
    <col min="10" max="15" width="10.08984375" bestFit="1" customWidth="1"/>
  </cols>
  <sheetData>
    <row r="6" spans="6:8" x14ac:dyDescent="0.25">
      <c r="F6" t="s">
        <v>3</v>
      </c>
      <c r="G6" t="s">
        <v>4</v>
      </c>
      <c r="H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InpC</vt:lpstr>
      <vt:lpstr>InpS</vt:lpstr>
      <vt:lpstr>Alpha</vt:lpstr>
      <vt:lpstr>Beta</vt:lpstr>
      <vt:lpstr>Transaction_Workings</vt:lpstr>
      <vt:lpstr>Post_Merger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Bhardwaj</dc:creator>
  <cp:lastModifiedBy>Raksha K</cp:lastModifiedBy>
  <dcterms:created xsi:type="dcterms:W3CDTF">2026-01-17T09:23:03Z</dcterms:created>
  <dcterms:modified xsi:type="dcterms:W3CDTF">2026-02-04T09:05:56Z</dcterms:modified>
</cp:coreProperties>
</file>